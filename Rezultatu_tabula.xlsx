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activeTab="5"/>
  </bookViews>
  <sheets>
    <sheet name="Uzdevumi" sheetId="1" r:id="rId1"/>
    <sheet name="Gemma-e4b 4B" sheetId="6" r:id="rId2"/>
    <sheet name="Qwen2.5 3B" sheetId="7" r:id="rId3"/>
    <sheet name="Qwen3.5 9B" sheetId="8" r:id="rId4"/>
    <sheet name="GPT-5.3" sheetId="2" r:id="rId5"/>
    <sheet name="RAG ar Qwen2.5" sheetId="3"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<sst xmlns="http://schemas.openxmlformats.org/spreadsheetml/2006/main" count="6734" uniqueCount="735">
  <si>
    <t>ID</t>
  </si>
  <si>
    <t>Priekšmets</t>
  </si>
  <si>
    <t>Gads</t>
  </si>
  <si>
    <t>LV_jautājums</t>
  </si>
  <si>
    <t>Attēls</t>
  </si>
  <si>
    <t>Atbilžu_varianti</t>
  </si>
  <si>
    <t>Pareiza_atbilde</t>
  </si>
  <si>
    <t>Fiz_2023_1</t>
  </si>
  <si>
    <t>Fizika</t>
  </si>
  <si>
    <t>Attēlā parādīti četru ķermeņu kustības ātruma moduļa grafiki. Kurš ķermenis laika intervālā no t = 0 līdz t = T veic visgarāko ceļu?</t>
  </si>
  <si>
    <t>A 
B 
C 
D</t>
  </si>
  <si>
    <t>C</t>
  </si>
  <si>
    <t>Fiz_2023_2</t>
  </si>
  <si>
    <t>Zīmējumā skatā no augšas attēlotas durvis, kurām eņģes ir katra attēla kreisajā pusē. Visās situācijās durvis mēģina atvērt, pieliekot vienāda lieluma spēku. Kurā situācijā spēks rada lielāko spēka momentu ap griešanās asi?</t>
  </si>
  <si>
    <t>Fiz_2023_3</t>
  </si>
  <si>
    <t>Pār nekustīgu trīsi neizstiepjamā auklā iekārti divi klucīši, kuru masas ir M un m. Trīša masu, auklas masu, berzes un pretestības spēkus neievēro, M &gt; m. Ar kādu paātrinājuma moduli kustas klucīši?</t>
  </si>
  <si>
    <t>A) (M - m) / (M + m) * g
B) M / (M + m) * g
C) M / m * g
D) (M + m) / (M - m) * g</t>
  </si>
  <si>
    <t>A</t>
  </si>
  <si>
    <t>Fiz_2023_4</t>
  </si>
  <si>
    <t>Četrus savā starpā ar saitēm P, Q un R saistītus atšķirīgas masas ķermeņus velk pa horizontālu virsmu, pieliekot nemainīgu spēku . Berzi neievēro. Kurš apgalvojums par saišu sastiepuma spēku moduļiem ir patiess?</t>
  </si>
  <si>
    <t>A) sastiepuma spēki saitēs P, Q un R ir vienādi 
B) lielākais sastiepuma spēks ir saitē R, mazākais - saitē Q 
C) lielākais sastiepuma spēks ir saitē P, mazākais - saitē R 
D) lielākais sastiepuma spēks ir saitē R, mazākais - saitē P</t>
  </si>
  <si>
    <t>Fiz_2023_5</t>
  </si>
  <si>
    <t>Noteiktā punktā, kā redzams zīmējumā, atrodas elektriskā lauka avots - lādiņš +q. Kurā punktā tajā pašā plaknē elektriskā lauka intensitāte būs vismazākā?</t>
  </si>
  <si>
    <t>Fiz_2023_6</t>
  </si>
  <si>
    <t>Slēgums izveidots atbilstoši attēlā redzamajai shēmai. Akumulatora iekšējā pretestība ir neievērojami maza. Voltmetrs un ampērmetri ir ideāli. Jānis ir uzrakstījis šādus apgalvojumus par mērierīču rādījumiem, kad slēdzis ir atvērts un aizvērts. 
I Kad slēdzis S ir atvērts, voltmetra rādījums ir 6,0 V. 
II Kad slēdzis S ir atvērts, rādījums uz A_2 ir 0,60 A. 
III Kad slēdzis S ir aizvērts, A_1 rādījums ir 0,80 A. 
Kurš apgalvojums vai kuri apgalvojumi ir patiesi?</t>
  </si>
  <si>
    <t>A) tikai I 
B) tikai II 
C) tikai I un II 
D) I, II un III</t>
  </si>
  <si>
    <t>D</t>
  </si>
  <si>
    <t>Fiz_2023_7</t>
  </si>
  <si>
    <t>No četrām vienādām LED gaismas diodēm un līdzstrāvas avota izveidots slēgums atbilstoši attēlā redzamajai shēmai. Kura LED gaismas diode vai kuras LED gaismas diodes spīd?</t>
  </si>
  <si>
    <t>A) tikai P 
B) tikai Q 
C) tikai P un R 
D) tikai Q un S</t>
  </si>
  <si>
    <t>B</t>
  </si>
  <si>
    <t>Fiz_2023_8</t>
  </si>
  <si>
    <t>Vads, kurā plūst strāva attēlā parādītajā virzienā, atrodas pastāvīgā magnēta radītā magnētiskajā laukā. Kādā virzienā vērsts Ampēra spēks, kas darbojas uz vadu?</t>
  </si>
  <si>
    <t>Fiz_2023_9</t>
  </si>
  <si>
    <t>Attēlā parādīti gaismas stari, kas no priekšmeta KL nonāk “melnajā kastē” un iznāk no tās. MN ir priekšmeta KL šķietams attēls. Kura optiskā ierīce vai to kombinācija, visticamāk, atrodas ar raustītu līniju apzīmētajā “melnajā kastē”?</t>
  </si>
  <si>
    <t>A) savācējlēca 
B) izkliedētājlēca 
C) plakans spogulis 
D) divi plakanie spoguļi</t>
  </si>
  <si>
    <t>Fiz_2023_10</t>
  </si>
  <si>
    <t>Ķīmisko elementu izotopi tabulā sakārtoti atbilstoši protonu skaitam un neitronu skaitam tajos.
(8/3)Li kodols sabrūk, izstarojot β⁻ daļiņu. Kurā tabulas vietā atradīsies iegūtais izotops?</t>
  </si>
  <si>
    <t>Kimija_2023_1</t>
  </si>
  <si>
    <t>Ķīmija</t>
  </si>
  <si>
    <t>Kāds eksperiments vizuāli attēlots zīmējumā?</t>
  </si>
  <si>
    <t>A) šķīšana
B) katalizators
C) ekstrakcija
D) hromatogrāfija</t>
  </si>
  <si>
    <t>Kimija_2023_2</t>
  </si>
  <si>
    <t>Radioaktīvajam sēra-35 izotopam 35S sabrūkot, veidojas cita elementa izotops un bēta daļiņa (elektrons).
Kuri apgalvojumi raksturo 35S izotopa izmaiņas sabrukšanas procesā?</t>
  </si>
  <si>
    <t>Kimija_2023_3</t>
  </si>
  <si>
    <t>Ar laiku sudraba rotaslietas apsūbē un kļūst tumšas, jo notiek ķīmiskā reakcija:
4Ag(c) + O2(g) + 2H2S(g) -&gt; 2Ag2S(c) + 2H2O(šk).
Kāds process notiek ar sudrabu šīs reakcijas laikā?</t>
  </si>
  <si>
    <t>Kimija_2023_4</t>
  </si>
  <si>
    <t>Kurā eksperimentā standartapstākļos rodas lielākais elektrodzinējspēks EDS?</t>
  </si>
  <si>
    <t>Kimija_2023_5</t>
  </si>
  <si>
    <t>Diagrammā ir parādītas ķīmiskās reakcijas CO(g) + 2H2(g) ⇄ CH3OH(g) izejvielu un produkta koncentrācijas maiņa laikā. Kādas izmaiņas tika veiktas sistēmā laikā t1?</t>
  </si>
  <si>
    <t>A) pievadīja H2 
B) pievadīja CO 
C) aizvadīja CH3OH 
D) aizvadīja H2</t>
  </si>
  <si>
    <t>Kimija_2023_6</t>
  </si>
  <si>
    <t>Grafikā attēlotas pH skaitliskās vērtības izmaiņas skābju-bāzu titrēšanas eksperimenta gaitā.
Kuru indikatoru var izmantot aprakstītajā titrēšanas eksperimentā?</t>
  </si>
  <si>
    <t>A) timola zilo 
B) metiloranžu 
C) fenolsarkano 
D) fenolftaleīnu</t>
  </si>
  <si>
    <t>Kimija_2023_7</t>
  </si>
  <si>
    <t>Ūdens paraugs satur Cl-, CO3 2-, SO4 2- jonus. Kādā secībā ir jāpievieno reaģenti, lai izgulsnētu hlorīdjonus to kvantitatīvai noteikšanai?</t>
  </si>
  <si>
    <t>Kimija_2023_8</t>
  </si>
  <si>
    <t>Gaisu, kas piesārņots ar skābes tvaikiem, attīrīja, laižot cauri vielai X.
Kura ir viela X?</t>
  </si>
  <si>
    <t>A) kalcija oksīds 
B) silīcija(IV) oksīds 
C) fosfora(V) oksīds 
D) kalcija hlorīds</t>
  </si>
  <si>
    <t>Kimija_2023_9</t>
  </si>
  <si>
    <t>Zīmējumā attēlota ogļūdeņraža struktūrformula.
Kāds ir ogļūdeņraža nosaukums pēc IUPAC nomenklatūras?</t>
  </si>
  <si>
    <t>A) 4-etil-4-metilpent-2-ēns
B) 2-etil-2-metilpent-3-ēns
C) 3,3-dimetilheks-4-ēns
D) 4,4-dimetilheks-2-ēns</t>
  </si>
  <si>
    <t>Kimija_2023_10</t>
  </si>
  <si>
    <t>Dotas četru vielu struktūrformulas. Kuras vielas ir oglekļa atomu virknes izomēri?</t>
  </si>
  <si>
    <t>A) I un II
B) II un IV
C) I un III
D) III un IV</t>
  </si>
  <si>
    <t>Kimija_2023_11</t>
  </si>
  <si>
    <t>Zīmējumā attēlota anīsskābes molekulas struktūrformula.
Kuru vielu klašu funkcionālās grupas ir anīsskābes molekulā?</t>
  </si>
  <si>
    <t>A) estera un ētera
B) ētera un ketona
C) ētera un karbonskābes
D) estera un karbonskābes</t>
  </si>
  <si>
    <t>Bio_2023_1</t>
  </si>
  <si>
    <t>Bioloģija</t>
  </si>
  <si>
    <t>Shematiskajos attēlos redzama tipiska auga šūnas uzbūve. Kuras šūnas sastāvdaļas atrodamas arī sēņu šūnās?</t>
  </si>
  <si>
    <t>A) tikai K
B) tikai L
C) K un M
D) K, L un M</t>
  </si>
  <si>
    <t>Bio_2023_2</t>
  </si>
  <si>
    <t>Elektronu mikroskopā redzamajos organoīdos notiek vielu sintēze.
Kura viela tiek sintezēta organoīdā, kas apzīmēts ar X?</t>
  </si>
  <si>
    <t>A) ciete
B) glikoze
C) olbaltumviela
D) adenozīntrifosfāts (ATP)</t>
  </si>
  <si>
    <t>Bio_2023_3</t>
  </si>
  <si>
    <t>Attēlā ir redzami lakstauga saulpurenes saknes šķērsgriezuma audi. Kāda ir audu K funkcija?</t>
  </si>
  <si>
    <t>A) elpošana
B) ūdens un minerālvielu transports
C) ūdens un ogļhidrātu transports
D) fotosintēze</t>
  </si>
  <si>
    <t>Bio_2023_4</t>
  </si>
  <si>
    <t>Attēlā ir redzama polimēra polipeptīda ķēde. Enzīms katalizē saišu hidrolīzi starp polārām bāziskām aminoskābēm un nepolārām aminoskābēm. Cik peptīdu (aminoskābju ķēžu) fragmentu izveidosies šī polipeptīda hidrolīzes rezultātā?</t>
  </si>
  <si>
    <t>A) 5
B) 6
C) 8
D) 13</t>
  </si>
  <si>
    <t>Bio_2023_5</t>
  </si>
  <si>
    <t>Aplūko smadzeņu shematisko attēlu!
Kura smadzeņu daļa nodrošina kustību koordinēšanu?</t>
  </si>
  <si>
    <t>С</t>
  </si>
  <si>
    <t>Bio_2023_6</t>
  </si>
  <si>
    <t>Asinsrites shēmā parādīti asins plūsmas virzieni cilvēka organismā. Kura asinsvada asinīs ir vislielākā glikozes koncentrācija?</t>
  </si>
  <si>
    <t>Bio_2023_7</t>
  </si>
  <si>
    <t>Grafikā parādīta noteikta faktora ietekme uz fotosintēzes intensitāti.
Kurš faktors var ietekmēt fotosintēzes intensitāti posmā XY?</t>
  </si>
  <si>
    <t>A) glikozes koncentrācija
B) skābekļa koncentrācija
C) gaismas intensitāte
D) temperatūra</t>
  </si>
  <si>
    <t>Bio_2023_8</t>
  </si>
  <si>
    <t>Dzimtas kokā ir attēlota ģimenes locekļu spēja sagaršot rūgtu savienojumu feniltiokarbamīdu (PTC), ko nosaka gēna dominantā alēle. Daļa populācijas to nespēj sagaršot, daļa šo vielu uztver kā ļoti rūgtu, bet daļa sajūt viegli rūgtu garšu.
Kurš apgalvojums par māsu Aijas un Lotes genotipu ir patiess saskaņā ar šo ciltskoku?</t>
  </si>
  <si>
    <t>A) abām māsām genotips pēc šīs pazīmes ir homozigotisks recesīvs
B) abām māsām genotips pēc šīs pazīmes ir heterozigotisks
C) Aijas genotips pēc šīs pazīmes ir heterozigotisks, bet Lotes - homozigotisks recesīvs
D) Aijas genotips pēc šīs pazīmes ir homozigotisks dominants, bet Lotes - homozigotisks recesīvs</t>
  </si>
  <si>
    <t>Bio_2023_9</t>
  </si>
  <si>
    <t>Attēlā redzama viena no mitozes fāzēm.
Doti četri apgalvojumi.
1. Uz šūnas poliem tiks aizvirzītas homologās hromosomas, kurās ir notikusi krustmija.
2. Uz šūnas poliem tiks aizvilktas ģenētiski identiskas hromatīdas.
3. Šajā dalīšanās procesā hromosomu skaits samazināsies no 2n (diploīda) uz n (haploīdu).
4. Šīs fāzes laikā pie hromosomu centromērām piestiprinās dalīšanās vārpstas pavedieni.
Kuri apgalvojumi par attēlā redzamo procesu ir patiesi?</t>
  </si>
  <si>
    <t>A) 2. un 4.
B) 1. un 3.
C) 1. un 4.
D) 2. un 3.</t>
  </si>
  <si>
    <t>Bio_2023_10</t>
  </si>
  <si>
    <t>Attēlā ir redzams process, kurš notiek cilvēka normālas embrionālās attīstības laikā.
Kurš apgalvojums par nosauktajām šūnām ir patiess?</t>
  </si>
  <si>
    <t>A) tikai zigota satur DNS
B) visām attēlotajām šūnām ir identisks DNS
C) zigotas DNS ir atšķirīga no pārējo šūnu DNS
D) zigotas DNS atšķiras no pārējo, bet ne visu šūnu DNS</t>
  </si>
  <si>
    <t>Bio_2023_11</t>
  </si>
  <si>
    <t>Attēlā ir redzams barošanās tīkls ezerā. Cik otrās pakāpes konsumentu ietilpst barošanās tīklā?</t>
  </si>
  <si>
    <t>A) 1
B) 2
C) 3
D) 4</t>
  </si>
  <si>
    <t>Bio_2023_12</t>
  </si>
  <si>
    <t>Attēlā ir redzamas izmaiņas ezera ekosistēmā pēc tuvējās fermas mēslojuma ieplūšanas ezerā.
Kurā laika momentā skābekļa līmenis ezera ūdenī ir viszemākais?</t>
  </si>
  <si>
    <t>Bio_2023_13</t>
  </si>
  <si>
    <t>Tabulā dotas divu peļu dzimtas grauzēju - lauku strupastes (Microtus arvalis) un tumšās strupastes (Microtus agrestis) - sistemātikas kategorijas latviešu un latīņu valodā. Kurā atbildē pareizi uzrakstītas X un Y sistemātikas kategorijas?</t>
  </si>
  <si>
    <t>A) X - grauzēju kārta; Y - Microtus
B) X - grauzēju kārta; Y - Arvalis
C) X - peļu kārta; Y - Microtus
D) X - peļu kārta; Y - Agrestis</t>
  </si>
  <si>
    <t>Bio_2023_14</t>
  </si>
  <si>
    <t>Attēlā dots dzīvnieku tipu filoģenētiskais koks, kurā evolucionāri senākās grupas novietotas apakšpusē. Kura ir visbūtiskākā pazīme, ar kuru hordaiņu tipa pārstāvji atšķiras no bezmugurkaulniekiem?</t>
  </si>
  <si>
    <t>A) staraina simetrija
B) trīsslāņains šūnu izkārtojums ķermenī
C) ķermenis nav posmots
D) ir sekundārā mute - otrmutnieki</t>
  </si>
  <si>
    <t>Bio_2023_15</t>
  </si>
  <si>
    <t>Aplūko gēnu inženierijas shematisko attēlu!
Kādam mērķim izmanto ar X apzīmēto struktūru?</t>
  </si>
  <si>
    <t>A) tā satur gēnu, kas piešķir modificētajām baktērijām nepieciešamo īpašību
B) tā nomāc baktērijā gēna aktivitāti
C) tā stimulē cilvēka gēna aktivitāti
D) to izmanto nepieciešamā gēna pārnešanai uz modificējamo baktērijas šūnu</t>
  </si>
  <si>
    <t>Geo_2023_1</t>
  </si>
  <si>
    <t>Ģeogrāfija</t>
  </si>
  <si>
    <t>Kura bīstama atmosfēras parādība redzama attēlā?</t>
  </si>
  <si>
    <t>A) tropu cikloni
B) putekļu mākoņi no Sahāras tuksneša
C) augsta spiediena apgabali
D) okeāna straumju izraisīts mākoņu sakopojums</t>
  </si>
  <si>
    <t>Geo_2023_2</t>
  </si>
  <si>
    <t>Kartē attēlots gada nokrišņu daudzums Latvijas teritorijā.
Kurš apgalvojums visprecīzāk raksturo Latvijas klimatu?</t>
  </si>
  <si>
    <t>A) Kurzemes dienvidrietumu daļā raksturīgs kontinentāls klimats
B) Latvijas teritorijai raksturīgs viendabīgs nokrišņu sadalījums
C) Latvijas austrumu daļā raksturīgs mēreni okeānisks klimats
D) Latvijas teritorijā nokrišņu sadalījumu būtiski ietekmē reljefs</t>
  </si>
  <si>
    <t>Geo_2023_3</t>
  </si>
  <si>
    <t>Kurš apgalvojums par gaisa masu cirkulāciju atmosfērā ir patiess?</t>
  </si>
  <si>
    <t>А) gaisa masas grimst ekvatora tuvumā
В) augsta spiediena apgabali veidojas teritorijās, kur gaisa masas grimst
С) gaisa masas piezemes slānī pārvietojas virzienā no ekvatora uz 30° ziemeļu un dienvidu ģeogrāfisko platumu
D) gaisa masas piezemes slānī pārvietojas virzienā no 60° ziemeļu un dienvidu ģeogrāfiskā platuma uz poliem</t>
  </si>
  <si>
    <t>Geo_2023_4</t>
  </si>
  <si>
    <t>Kurš faktors būtiski ietekmējis pasaules iedzīvotāju skaita pieauguma izmaiņas laikā no 1970. līdz 2020. gadam?</t>
  </si>
  <si>
    <t>A) dzimstības samazinājums Eiropā
B) pieauguma tempu samazinājums Indijā un Ķīnā
C) pandēmiju izplatība pasaulē
D) migrācijas pieaugums starp pasaules reģioniem</t>
  </si>
  <si>
    <t>Geo_2023_5</t>
  </si>
  <si>
    <t>Izmanto diagrammā pieejamo informāciju! Kas liecina par to, ka Sudānā pēc 20 gadiem prognozējams lielāks dabiskais pieaugums?</t>
  </si>
  <si>
    <t>A) valstī uzlabosies ekonomiskā situācija
B) pieaug mūža ilgums
C) sieviešu un vīriešu skaits ir vienāds
D) dzimstība katru gadu pieaug</t>
  </si>
  <si>
    <t>Geo_2023_6</t>
  </si>
  <si>
    <t>Kurā kartē atzīmētajā punktā pastāv lielākais vulkāniskās aktivitātes risks?</t>
  </si>
  <si>
    <t>А) 1.
В) 2.
С) 3.
D) 4.</t>
  </si>
  <si>
    <t>Geo_2023_7</t>
  </si>
  <si>
    <t>Kura aprakstītā situācija visprecīzāk skaidro Arāla jūras ūdens līmeņa izmaiņas?</t>
  </si>
  <si>
    <t>A) Turkmenistānā un Uzbekistānā Sirdarjas un Amudarjas ūdeņi kopš 1960. gada tiek intensīvi izmantoti dzeramā ūdens apgādei
B) 1960. gadā Padomju Savienība uzsāka Kazahstānas un Uzbekistānas stepju izmantošanu kokvilnas audzēšanai
C) Sirdarja un Amudarja barojas no Tjanšana kalnu ledājiem, kas globālo klimata izmaiņu rezultātā ir būtiski samazinājušies
D) uz Sirdarjas un Amudarjas 1960. gadā uzbūvēja hidroelektrostacijas, kuras apgādā tuvāko reģionu ar elektroenerģiju</t>
  </si>
  <si>
    <t>Mat_2023_1</t>
  </si>
  <si>
    <t>Matemātika</t>
  </si>
  <si>
    <t>Koordinātu plaknē doti vektori DE = u, FE= v, DF = z. Kura no vienādībām ir patiesa?</t>
  </si>
  <si>
    <t>A) v = u - z
B) v = z - u
C) v = -u - z
D) v = u + z</t>
  </si>
  <si>
    <t>Mat_2023_2</t>
  </si>
  <si>
    <t>Koordinātu plaknē doti vektori DE = u, FE= v, DF = z. Vektora v koordinātas ir</t>
  </si>
  <si>
    <t>A) v = (4; 4)
B) v = (-4; 4)
C) v = (4; -4)
D) v = (-4; -4)</t>
  </si>
  <si>
    <t>Mat_2023_3</t>
  </si>
  <si>
    <t>Koordinātu plaknē doti vektori DE = u, FE= v, DF = z. Vektora v modulis (garums) ir</t>
  </si>
  <si>
    <t>A) 4
B) 8
C) 2√2
D) 4√2</t>
  </si>
  <si>
    <t>Mat_2023_4</t>
  </si>
  <si>
    <t>Kurā no atbilžu variantiem attēlots (ar krāsojumu) cilindra aksiālšķēlums (punkti O un O1 ir riņķu centri)?</t>
  </si>
  <si>
    <t>A
B
C
D</t>
  </si>
  <si>
    <t>Mat_2023_5</t>
  </si>
  <si>
    <t>No punkta B pret plakni alfa novilkts perpendikuls BD, slīpnes BA un BC. Dots, ka lenķis BCA = 90 grādi. Lenķis, ko BA veido ar plakni alfa, ir</t>
  </si>
  <si>
    <t>A) lenķis BDA
B) lenķis BAD
C) lenķis BCA
D) lenķis BAC</t>
  </si>
  <si>
    <t>Mat_2023_6</t>
  </si>
  <si>
    <t>No punkta B pret plakni alfa novilkts perpendikuls BD, slīpnes BA un BC. Dots, ka lenķis BCA = 90 grādi. Taisne AD neatrodas vienā plaknē ar</t>
  </si>
  <si>
    <t>A) BD
B) BA
C) BC
D) AC</t>
  </si>
  <si>
    <t>Mat_2023_7</t>
  </si>
  <si>
    <t>Met divus spēļu kauliņus un nosaka uz augšējām skaldnēm uzmesto punktu summu. Kurš no dotajiem notikumiem ir drošs notikums?</t>
  </si>
  <si>
    <t>A) Punktu summa ir lielāka nekā 14.
B) Punktu summa ir pāra skaitlis.
C) Punktu summa ir mazāka nekā 14.
D) Punktu summa ir nepāra skaitlis.</t>
  </si>
  <si>
    <t>Mat_2023_8</t>
  </si>
  <si>
    <t>Dotajai kastu diagrammai atbilstošā datu kopa ir:</t>
  </si>
  <si>
    <t>A) {11; 12; 14; 15; 16; 17}
B) {9; 12; 14; 14; 17; 17}
C) {11; 11; 13; 15; 17; 17}
D) {11; 12; 13; 14; 15; 16}</t>
  </si>
  <si>
    <t>Mat_2023_9</t>
  </si>
  <si>
    <t>Datu kopa ar mazāko standartnovirzi ir:</t>
  </si>
  <si>
    <t>Mat_2023_10</t>
  </si>
  <si>
    <t>Figūru ierobežo līnijas y = x^2, y = 1 un x = 3. Figūras laukumu izsaka izteiksme:</t>
  </si>
  <si>
    <t>A) Integrālis no 1 līdz 3 no x² dx
B) Integrālis no 0 līdz 3 no x² dx
C) Integrālis no 0 līdz 3 no (x² - 1) dx
D) Integrālis no 1 līdz 3 no (x² - 1) dx</t>
  </si>
  <si>
    <t>Mat_2024_1</t>
  </si>
  <si>
    <t>Dots paralograms ABCD un vektori AD = d un AB = b. Kura no vienādībām ir patiesa?</t>
  </si>
  <si>
    <t>A) DB = b - d
B) DB = -b + d
C) DB = -b - d
D) DB = b + d</t>
  </si>
  <si>
    <t>Mat_2024_2</t>
  </si>
  <si>
    <t>Dots kubs ABCDEFGH un vektors BE = (0; -4; 4). Vektora BE modulis (garums) ir:</t>
  </si>
  <si>
    <t>A) 2√2
B) 4√2
C) 5
D) 8</t>
  </si>
  <si>
    <t>Mat_2024_3</t>
  </si>
  <si>
    <t>Koordinātu plaknē doti četri vienādi taisnleņķa trijstūri. Kurš no dotajiem apgalvojumiem ir aplams?</t>
  </si>
  <si>
    <t>A) Trijstūri I var iegūt no trijstūra IV ar paralēlo pārnesi.
B) Trijstūri II un III ir simetriski attiecībā pret Ox asi.
C) Trijstūri I un III ir simetriski attiecībā pret koordinātu sākumpunktu.
D) Trijstūri II var iegūt no trijstūra I ar pagriezienu par 90 grādiem ap koordinātu sākumpunktu.</t>
  </si>
  <si>
    <t>Kimija_2024_1</t>
  </si>
  <si>
    <t>Spirti geraniols un nerols ir izomēri. Tie atrodas daudzu ēterisko eļļu sastāvā. Zīmējumā attēlotas geraniola un nerola struktūrformulas.
Kuru izomērijas veidu attēlo doto izomēru struktūrformulas?</t>
  </si>
  <si>
    <t>A) oglekļa atomu virknes izomēriju
B) ģeometrisko izomēriju
C) vietas izomēriju
D) funkcionālās grupas izomēriju</t>
  </si>
  <si>
    <t>Kimija_2024_2</t>
  </si>
  <si>
    <t>Dotas molekulu struktūrformulas. Kuru vielu molekulas ir polāras?</t>
  </si>
  <si>
    <t>A) tikai I
B) tikai I un III
C) tikai II un IV
D) tikai II, III, IV</t>
  </si>
  <si>
    <t>Kimija_2024_3</t>
  </si>
  <si>
    <t>Kurā gadījumā vielu ķīmiskās formulas sakārtotas atbilstīgi to piederībai sāls veidam?</t>
  </si>
  <si>
    <t>Kimija_2024_4</t>
  </si>
  <si>
    <t>Kurā zīmējumā ķīmiskās saites amonija jonā NH₄⁺ attēlotas pareizi?
(Ar punktiņiem apzīmēti slāpekļa atoma elektroni, bet ar krustiņu - ūdeņraža atoma elektroni.)</t>
  </si>
  <si>
    <t>Kimija_2024_5</t>
  </si>
  <si>
    <t>Slāpekļa dioksīds NO₂ pastāv līdzsvarā ar dimēru N₂O₄:
2NO₂(g) ⇄ N₂O₄(g), ΔH = -57 kJ.
Kādi apstākļi nodrošina lielāko N₂O₄ iznākumu līdzsvara stāvoklī?</t>
  </si>
  <si>
    <t>Kimija_2024_6</t>
  </si>
  <si>
    <t>Trīs gāzu (X, Y un Z) maisījums atrodas līdzsvara stāvoklī slēgtā traukā. Laika brīdī t₁ gāzu maisījumam pievada papildu siltuma daudzumu. Grafikā attēlotas gāzu X, Y un Z koncentrācijas izmaiņas ķīmiskās reakcijas norises laikā. Kurš ķīmiskās reakcijas vienādojums apraksta šīs reakcijas norisi?</t>
  </si>
  <si>
    <t>A) 2X(g) + Z(g) ⇄ Y(g) + Q
B) 2X(g) ⇄ Y(g) + Z(g) - Q
C) 2X(g) + Z(g) ⇄ Y(g) - Q
D) Y(g) + 2X(g) ⇄ Z(g) - Q</t>
  </si>
  <si>
    <t>Kimija_2024_7</t>
  </si>
  <si>
    <t>Galvaniskais elements sastāv no cinka un vara plāksnītēm, kas ievietotas šo metālu sāļu 1 M šķīdumos. Uzdevuma izpildei var izmantot informāciju no datu bukleta 3. tabulas.
I Cinka elektrods ir anods, bet vara elektrods ir katods.
II Vara elektroda masa palielinājās, bet cinka elektroda masa samazinājās.
Kurš apgalvojums par galvanisko elementu ir patiess?</t>
  </si>
  <si>
    <t>A) tikai I
B) tikai II
C) I un II
D) neviens</t>
  </si>
  <si>
    <t>Kimija_2024_8</t>
  </si>
  <si>
    <t>Kuri ķīmisko reakciju vienādojumi apraksta hroma(III) oksīda amfotērās īpašības?</t>
  </si>
  <si>
    <t>A) I un III
B) II un III
C) I un IV
D) II un IV</t>
  </si>
  <si>
    <t>Kimija_2024_9</t>
  </si>
  <si>
    <t>Ar sāls ūdens šķīdumu, kas satur tikai divu veidu jonus, veica divus atsevišķus eksperimentus. Katrā eksperimentā iegūto maisījumu nofiltrēja un filtrātu savāca. Eksperimenta novērojumi apkopoti tabulā. Kuri joni atrodas filtrātā X un Y?</t>
  </si>
  <si>
    <t>Bio_2024_1</t>
  </si>
  <si>
    <t>Kurā atbildē pareizi nosauktas attēlā norādīto šūnas organoīdu funkcijas?</t>
  </si>
  <si>
    <t>A) X - ogļhidrātu sintēze; Q - lipīdu sintēze
B) Y - ATP sintēze; Q - olbaltumvielu sintēze
C) X - ATP sintēze; W - olbaltumvielu sintēze
D) Y - ogļhidrātu sintēze; W - ribosomu sastāvdaļu sintēze</t>
  </si>
  <si>
    <t>Bio_2024_2</t>
  </si>
  <si>
    <t>Mikropreparāta attēlā redzams gundegas saknes šķērsgriezums.
Kurā atbildē pareizi norādītas ar Z un X atzīmēto audu funkcijas?</t>
  </si>
  <si>
    <t>A) Z - ūdens transports; X - rezerves vielu uzkrāšana
B) Z - ūdens transports; X - fotosintēze
C) Z - glikozes transports; X - fotosintēze
D) Z - glikozes transports; X - rezerves vielu uzkrāšana</t>
  </si>
  <si>
    <t>Bio_2024_3</t>
  </si>
  <si>
    <t>Attēlā ir redzama viena un tā pati šūna, kurā notiek vielas Z pārvietošanās caur šūnas plazmatisko membrānu. Kura procesa rezultātā viela Z pārvietojas?</t>
  </si>
  <si>
    <t>A) endocitozes
B) eksocitozes
C) pinocitozes
D) fagocitozes</t>
  </si>
  <si>
    <t>Bio_2024_4</t>
  </si>
  <si>
    <t>Fotosintēzes procesam izšķir gaismas un tumsas fāzes.
Kurā atbildē pareizi norādītas norises katrā fāzē?</t>
  </si>
  <si>
    <t>Bio_2024_5</t>
  </si>
  <si>
    <t>Kuri apgalvojumi par tRNS darbību olbaltumvielas translācijas procesā ir patiesi?
1. tRNS īslaicīgi piesaistās pie mRNS ar ūdeņraža saišu starpniecību.
2. Nukleotīdu secība tRNS molekulā ir tāda pati kā nukleotīdu secība mRNS.
3. tRNS nodrošina nukleotīdu secībai mRNS atbilstošu aminoskābju secību olbaltumvielā.</t>
  </si>
  <si>
    <t>A) 1. un 3.
B) 2. un 3.
C) 1. un 2.
D) tikai 3.</t>
  </si>
  <si>
    <t>Bio_2024_6</t>
  </si>
  <si>
    <t>Attēlā redzams saknes šķērsgriezuma fragments. Ūdens saknēs nonāk osmozes ceļā - ūdens molekulas pārvietojas uz turieni, kur augstāka sāļu koncentrācija.
Kurā atbildē pareizi norādītas sāļu koncentrācijas atšķirības, lai notiktu ūdens pārvietošanās saknēs?</t>
  </si>
  <si>
    <t>A) 1 &gt; 2
B) 2 &gt; 3
C) 1 &lt; 2
D) 3 &lt; 2</t>
  </si>
  <si>
    <t>Bio_2024_7</t>
  </si>
  <si>
    <t>Attēlā redzama iekārta dīgstošu miežu sēklu elpošanas pētīšanai. Ko pierāda eksperimenta rezultāti?</t>
  </si>
  <si>
    <t>A) sēklas elpošanas procesā izdala CO₂
B) sēklas elpojot atbrīvo enerģiju
C) sēklu elpošanai ir nepieciešama glikoze
D) sēklas elpojot uzņem skābekli</t>
  </si>
  <si>
    <t>Bio_2024_8</t>
  </si>
  <si>
    <t>Asinsrites shēma cilvēka organismā. Caur kuru asinsvadu virzās asinis, lai tās nonāktu no vietas X līdz vietai Y?</t>
  </si>
  <si>
    <t>A) aknu artēriju
B) aknu vārtu vēnu
C) plaušu artēriju
D) nieru vēnu</t>
  </si>
  <si>
    <t>Bio_2024_9</t>
  </si>
  <si>
    <t>Shēmās parādītas patogēnu grupas (1, 2 un 3) un dažādu patogēnu transmisijas ceļi (X, Z, Y un W). Tuberkuloze ir infekcioza saslimšana, kuru ārstē ar antibiotikām. Kāda ir tuberkulozes patogēna grupa un tās transmisijas ceļš?</t>
  </si>
  <si>
    <t>А) 1 un Y
В) 2 un Z
С) 1 un X
D) 3 un W</t>
  </si>
  <si>
    <t>Bio_2024_10</t>
  </si>
  <si>
    <t>Attēlā redzama nieres artērija A, nieres vēna B un urīnvads C. Kur veselam cilvēkam atrodas glikoze un urīnviela?</t>
  </si>
  <si>
    <t>A) glikoze - tikai A; urīnviela - tikai C
B) glikoze - A un C; urīnviela - A un C
C) glikoze - A un B; urīnviela - A un C
D) glikoze - A un B; urīnviela - tikai C</t>
  </si>
  <si>
    <t>Bio_2024_11</t>
  </si>
  <si>
    <t>Attēlā redzama peļu apmatojuma krāsas iedzimšana. Kura pele ir heterozigotiska pēc apmatojuma krāsas?</t>
  </si>
  <si>
    <t>Bio_2024_12</t>
  </si>
  <si>
    <t>Attēlos parādītas hromosomas no divām atšķirīgām, bet radniecīgām augu sugām. Salīdzini abu augu sugu hromosomas!
Kā sauc parādību, kas raksturīga otrajai augu sugai salīdzinājumā ar pirmo?</t>
  </si>
  <si>
    <t>A) diploīdija
B) triploīdija
C) polisomija
D) poliploīdija</t>
  </si>
  <si>
    <t>Bio_2024_13</t>
  </si>
  <si>
    <t>Cilvēkam ausu ļipiņas - nepieaugušas auss ļipiņas un pieaugušas auss ļipiņas - veidošanos nosaka viena gēna alēles. Ciltskokā parādīta pieaugušas auss ļipiņas iedzimšana kādā dzimtā. Ciltskokā iekrāsoti tie dzimtas locekļi, kuriem ir pieaugusi auss ļipiņa, kas ir autosomāla recesīva pazīme.
Kādi genotipi iespējami III paaudzes pēcnācējiem 1, 2 un 3?</t>
  </si>
  <si>
    <t>A) 50 % Aa un 50 % aa
B) 75 % Aa un 25 % aa
C) 100 % Aa
D) 100 % aa</t>
  </si>
  <si>
    <t>Bio_2024_14</t>
  </si>
  <si>
    <t>Aplūko shematisko attēlu, kurā parādīta oglekļa aprite dabā!
Kurā atbildē pareizi norādīts oglekļa aprites process?</t>
  </si>
  <si>
    <t>A) 1 - fotosintēze
B) 2 - elpošana
C) 3 - elpošana
D) 4 - elpošana</t>
  </si>
  <si>
    <t>Bio_2024_15</t>
  </si>
  <si>
    <t>Attēlā redzama vielu plūsma ekosistēmā. Apļi apzīmē trofiskos līmeņus. Kurš aplis apzīmē zālēdājus?</t>
  </si>
  <si>
    <t>Bio_2024_16</t>
  </si>
  <si>
    <t>Attēlā dots posmkāju filoģenētiskais koks.
Kura posmkāju grupa ir evolucionāri visjaunākā?</t>
  </si>
  <si>
    <t>A) Trilobites
B) Myriapoda
C) Crustaceans
D) Insects</t>
  </si>
  <si>
    <t>Bio_2024_17</t>
  </si>
  <si>
    <t>Attēlā ir redzama baktērijas šūna, kas tiks izmantota cilvēka rekombinēta insulīna sintēzē.
Kas tiks ievietots vietā Q?</t>
  </si>
  <si>
    <t>A) vesela cilvēka aizkuņģa dziedzera šūnu insulīna gēns
B) vesela cilvēka aizkuņģa dziedzera šūnas
C) citas baktērijas gēns
D) vesela cilvēka insulīna molekula</t>
  </si>
  <si>
    <t>Bio_2024_18</t>
  </si>
  <si>
    <t>Fenilketonūrija ir autosomāli recesīva slimība, ko izraisa izmaiņas iedzimtības materiālā, kurš kodē enzīma PAH sintēzi.
Salīdzini abas dotās DNS sekvences, sameklē mutāciju, kas izraisa nefunkcionējoša enzīma PAH sintēzi un nosaki tās veidu!</t>
  </si>
  <si>
    <t>A) hromosomu mutācija, jo izveidoti vairāki nukleotīdu C atkārtojumi
B) gēnu jeb punktveida mutācija, jo nomainīta nukleotīdu secība
C) genoma mutācija – izmainīts hromosomu skaits
D) ģeneratīva mutācija, jo notiek gametās</t>
  </si>
  <si>
    <t>Fiz_2024_1</t>
  </si>
  <si>
    <t>Automašīna brauc vienmērīgi pa taisnu, pamestu šosejas posmu. Eksperimenta nolūkos skolēns pa pasažieru logu izmet tenisa bumbiņu perpendikulāri automašīnas ātruma vektora virzienam automašīnas atskaites sistēmā. Gaisa pretestību neņem vērā! Pa kuru trajektoriju lidos bumbiņa, nekustīgam novērotājam skatoties no augšas?</t>
  </si>
  <si>
    <t>Fiz_2024_2</t>
  </si>
  <si>
    <t>Sportists sacīkstēs, skrienot par apļveida trases iekšējo joslu, veic trīs ceturtdaļas no trases, kuras rādiuss ir 30 m, kā parādīts zīmējumā. Kura vērtība vistuvāk atbilst sportista pārvietojuma modulim?</t>
  </si>
  <si>
    <t>А) 141 m
B) 42 m
C) 30 m
D) 23 m</t>
  </si>
  <si>
    <t>Fiz_2024_3</t>
  </si>
  <si>
    <t>Koka klucītis ar nemainīgu ātrumu slīd lejup pa nogāzi. Nogāzes slīpuma leņķis ar horizontu veido 30°. Klucīša masa ir 2,0 kg, un g = 10 m/s2.
Cik liels berzes spēks darbojas uz klucīti?</t>
  </si>
  <si>
    <t>A) 1,0 N
B) 1,7 N
C) 10 N
D) 20 N</t>
  </si>
  <si>
    <t>Fiz_2024_4</t>
  </si>
  <si>
    <t>Uz horizontālas virsmas cieši blakus viens otram atrodas divi klucīši, kuru masa ir attiecīgi 2m un m. Uz klucīšiem iedarbojas nemainīga lieluma horizontāli vērsts spēks, kā parādīts attēlā. Berzi starp klucīšiem un virsmu neņem vērā!
Kura sakarība jāizmanto klucīšu paātrinājuma aprēķināšanai?</t>
  </si>
  <si>
    <t>A) a = F / m
B) a = F / 2m^2
C) a = F / 2m
D) a = F / 3m</t>
  </si>
  <si>
    <t>Fiz_2024_5</t>
  </si>
  <si>
    <t>Homogēna materiāla lode ar sfērisku tukšumu ir pilnībā iegremdēta ūdenī. Kurā punktā pielikts Arhimēda spēks, kas darbojas uz lodi?</t>
  </si>
  <si>
    <t>Fiz_2024_6</t>
  </si>
  <si>
    <t>Kvēlspuldze, voltmetrs, ampērmetrs un galvaniskais elements, kura iekšējo pretestību var neievērot, saslēgti, kā redzams attēlā. Slēgumam pievieno vēl vienu kvēlspuldzi (attēlā ar pārtrauktu līniju). Kuras mērierīces rādījums mainās?</t>
  </si>
  <si>
    <t>A) voltmetrs rāda mazāku spriegumu
B) voltmetrs rāda lielāku spriegumu
C) ampērmetrs rāda mazāku strāvu
D) ampērmetrs rāda lielāku strāvu</t>
  </si>
  <si>
    <t>Fiz_2024_7</t>
  </si>
  <si>
    <t>Divas dažādas elektriskās ķēdes izveidotas no vienādiem rezistoriem un vienādiem galvaniskajiem elementiem. Galvaniskā elementa pretestība ir neievērojami maza. Pirmajā ķēdē rezistorā izkliedējas jauda P.
Cik liela kopējā jauda izkliedējas rezistoros otrajā ķēdē?</t>
  </si>
  <si>
    <t>A) P/4
B) P
C) P/2
D) 2P</t>
  </si>
  <si>
    <t>Fiz_2024_8</t>
  </si>
  <si>
    <t>Skolēns pētīja, kā mainās rezistorā izdalītā jauda, ja rezistora pretestība mainās. Pētījumā spriegums uz rezistora un temperatūra tika turēti nemainīgi. Rezultātus skolēns attēloja grafiski.
Kurā atbildē visprecīzāk norādīts spriegums uz rezistora?</t>
  </si>
  <si>
    <t>A) 0,50 V
B) 1,0 V
C) 2,0 V
D) 4,0 V</t>
  </si>
  <si>
    <t>Fiz_2024_9</t>
  </si>
  <si>
    <t>Shēmā parādīts elektropārvades līnijas modelis ar diviem transformatoriem un izejas spriegums.
Cik liels ir ieejā pievadītais spriegums?</t>
  </si>
  <si>
    <t>A) 0,12 V
B) 6,0 V
C) 12 V
D) 96 V</t>
  </si>
  <si>
    <t>Fiz_2024_10</t>
  </si>
  <si>
    <t>Signāla ģeneratora izejas spailēm pievienots osciloskops, kura rādījums attēlots zīmējumā.
Osciloskopa laika ass iedaļas vērtība ir 30 ms.
Cik liela ir no ģeneratora izejas uz osciloskopu saņemtā signāla frekvence?</t>
  </si>
  <si>
    <t>A) 8,3 * 10^-3 Hz
B) 0,12 Hz
C) 4,2 Hz
D) 8,3 Hz</t>
  </si>
  <si>
    <t>Fiz_2024_11</t>
  </si>
  <si>
    <t>Pilnīgās iekšējās atstarošanās robežleņķis, ja gaisma pāriet no stikla gaisā, ir 35°.
Gaismas stars no gaisa krīt uz trijstūrveida stikla prizmas malu, kā parādīts attēlā.
Kurā virzienā gaismas stars turpinās ceļu?</t>
  </si>
  <si>
    <t>Fiz_2024_12</t>
  </si>
  <si>
    <t>S1 un S2 ir koherentu viļņu avoti. Interferences ainu iegūst uz ekrāna.
Pirmās kārtas maksimums rodas punktā P, kur S1P = 200 mm un S2P = 180 mm.
Cik liela ir viļņu veikto ceļu gājumu starpība trešās kārtas maksimuma punktā R (S1R – S2R)?</t>
  </si>
  <si>
    <t>A) 20 mm
B) 30 mm
C) 40 mm
D) 60 mm</t>
  </si>
  <si>
    <t>Fiz_2024_13</t>
  </si>
  <si>
    <t>Divu alfa daļiņu, kam piemīt vienāda enerģija, trajektorijas noliecas masīva atoma kodola tuvumā. Kurā gadījumā vispareizāk attēlotas alfa daļiņu trajektorijas?</t>
  </si>
  <si>
    <t>Fiz_2024_14</t>
  </si>
  <si>
    <t>Vara vada garums ir marķēts – garums: 0,50 m, diametrs: 0,50 mm.
Kuri mērinstrumenti ir vispiemērotākie vada garuma un diametra noteikšanai?</t>
  </si>
  <si>
    <t>Geo_2024_1</t>
  </si>
  <si>
    <t>Kura perioda pamatieži sastopami visā Latvijas valsts teritorijā?</t>
  </si>
  <si>
    <t>A) juras
B) devona
C) karbona
D) perma</t>
  </si>
  <si>
    <t>Geo_2024_2</t>
  </si>
  <si>
    <t>Kā sauc attēlā redzamo litosfēras plātņu kustības procesu?</t>
  </si>
  <si>
    <t>A) kolīzija
B) subdukcija
C) spredings
D) horizontālā sānslīde</t>
  </si>
  <si>
    <t>Geo_2024_3</t>
  </si>
  <si>
    <t>Attēlā parādītas demogrāfiskās pārejas fāzes.
Prognozē paredzamās demogrāfisko procesu izmaiņas nākamajos 20 gados valstī, kura atrodas ceturtajā demogrāfiskās pārejas fāzē!</t>
  </si>
  <si>
    <t>A) Dzimstība - samazināsies; Mirstība - samazināsies; Iedzīvotāju skaits valstī - samazināsies
B) Dzimstība - nemainīsies; Mirstība - samazināsies; Iedzīvotāju skaits valstī - pieaugs
C) Dzimstība - samazināsies; Mirstība - nemainīsies; Iedzīvotāju skaits valstī - lēni pieaugs
D) Dzimstība - nemainīsies; Mirstība - nemainīsies vai nedaudz pieaugs; Iedzīvotāju skaits valstī - nemainīsies</t>
  </si>
  <si>
    <t>Geo_2024_4</t>
  </si>
  <si>
    <t>Attēlā redzama Kataras iedzīvotāju dzimumvecumstruktūra 2019. gadā.
Kurš apgalvojums atbilst šai valstij?</t>
  </si>
  <si>
    <t>A) valsts atrodas demogrāfiskās pārejas 1. fāzē ar lielu dzimstību
B) pēcdarbspējas vecuma iedzīvotāju skaits ir lielāks nekā bērnu un jauniešu skaits
C) 30–39 gadu vecuma grupā vīriešu skaits vairāk nekā trīs reizes pārsniedz sieviešu skaitu
D) 30–39 gadu vecuma grupā vīrieši emigrējuši vairāk nekā sievietes</t>
  </si>
  <si>
    <t>Geo_2024_5</t>
  </si>
  <si>
    <t>Dotajā attēlā redzamas iedzīvotāju skaita izmaiņas Latvijā 2011.–2020. gadā (tūkstošos cilvēku).
Kurā gadā Latvijā bija vērojams vislielākais iedzīvotāju skaita samazinājums iedzīvotāju dabiskās kustības rezultātā?</t>
  </si>
  <si>
    <t>A) 2011.
B) 2013.
C) 2016.
D) 2020.</t>
  </si>
  <si>
    <t>Geo_2024_6</t>
  </si>
  <si>
    <t>Kas atrodas Bērdžesa modeļa centrālajā daļā?</t>
  </si>
  <si>
    <t>A) centrālais darījumu rajons
B) iepirkšanās un izklaides rajons
C) ražošanas un rekreācijas rajons
D) parku un dārzu rajons</t>
  </si>
  <si>
    <t>Geo_2024_7</t>
  </si>
  <si>
    <t>Kurš jēdziens nosauc attēlā redzamo procesu?</t>
  </si>
  <si>
    <t>A) viltus urbanizācija
B) deurbanizācija
C) suburbanizācija
D) ģentrifikācija</t>
  </si>
  <si>
    <t>Geo_2024_8</t>
  </si>
  <si>
    <t>Kuras atjaunīgās enerģijas veids kartē ir attēlots?</t>
  </si>
  <si>
    <t>A) saules enerģijas
B) vēja enerģijas
C) biomasas enerģijas
D) ģeotermālās enerģijas</t>
  </si>
  <si>
    <t>Geo_2024_9</t>
  </si>
  <si>
    <t>Šrilankā 33 % iedzīvotāju ir nodarbināti lauksaimniecībā, 24 % – rūpniecībā, bet 43 % – pakalpojumu jomās.
Kurš ir atbilstošais punkts diagrammā, kas atspoguļo aprakstīto situāciju?</t>
  </si>
  <si>
    <t>Mat_2025_1</t>
  </si>
  <si>
    <t>Koordinātu telpā dots kubs ABCDEFGH ar šķautnes garumu 3 vienības un punkts C(-3; 3; 0). Nosaki vektoru, kas vienāds ar AB + AH</t>
  </si>
  <si>
    <t>A) AG
B) GA
C) HB
D) BH</t>
  </si>
  <si>
    <t>Mat_2025_2</t>
  </si>
  <si>
    <t>Dota regulāra trijstūra piramīda SABC. Nosaki taisni, kura ir šķērsa taisnei MB.</t>
  </si>
  <si>
    <t>A) SA
B) CB
C) CM
D) SC</t>
  </si>
  <si>
    <t>Mat_2025_3</t>
  </si>
  <si>
    <t>Kurš grafiks atbilst funkcijai y = f(x), ja zināms, ka f'(x) &gt; 0, f''(x) &lt; 0 un x ∈ (a; b)?</t>
  </si>
  <si>
    <t>Geo_2025_1</t>
  </si>
  <si>
    <t>Kā sauc attēlā novērojamo procesu?</t>
  </si>
  <si>
    <t>A) sufozija
B) karsts
C) erozija
D) akumulācija</t>
  </si>
  <si>
    <t>Geo_2025_2</t>
  </si>
  <si>
    <t>Attēlā redzama klimatogramma, kas raksturīga tundras biomai Kanādā.
Kāda ir gada temperatūras amplitūda minētajā tundrā Kanādā?</t>
  </si>
  <si>
    <t>A) 12
B) 34
C) 42
D) 50</t>
  </si>
  <si>
    <t>Geo_2025_3</t>
  </si>
  <si>
    <t>Kuras Latvijas pilsētas tuvumā iespējams lielāks plūdu risks?</t>
  </si>
  <si>
    <t>A) Mārupes
B) Lielvārdes
C) Ogres
D) Siguldas</t>
  </si>
  <si>
    <t>Geo_2025_4</t>
  </si>
  <si>
    <t>Kurās valstīs ir vislielākais ūdens trūkums?</t>
  </si>
  <si>
    <t>A) Ungārija, Ukraina, Kazahstāna
B) Vācija, Lielbritānija, Indija
C) Spānija, Turcija, Pakistāna
D) Lībija, Maroka, Omāna</t>
  </si>
  <si>
    <t>Fiz_2025_1</t>
  </si>
  <si>
    <t>Divi motociklisti, uzsākot kustību vienlaikus no punktiem 1 un 2, pārvietojas pa koncentriskām riņķveida trajektorijām horizontālā plaknē. Kustības laikā attālums starp motocikliem paliek nemainīgs, un abi motociklisti sākuma pozīcijā atgriežas vienlaikus. Kurš fizikālais lielums abiem motociklistiem kustības laikā ir vienāds?</t>
  </si>
  <si>
    <t>A) lineārais ātrums
B) centrtieces paātrinājums
C) leņķiskais ātrums
D) attālums no centra</t>
  </si>
  <si>
    <t>Fiz_2025_2</t>
  </si>
  <si>
    <t>Uz horizontāla galda atrodas klucītis, uz klucīša – atsvars. Ja klucītim pieliek horizontāli vērstu spēku F, klucītis sāk slīdēt pa galdu. Atsvars attiecībā pret koka klucīti paliek nekustīgs.
Raksturo berzes spēku starp klucīti un atsvaru!</t>
  </si>
  <si>
    <t>A) berzes spēks ir mazāks nekā spēks F, bet nav 0
B) berzes spēks ir vienāds ar spēku F
C) berzes spēks ir lielāks nekā spēks F
D) berzes spēks ir vienāds ar nulli</t>
  </si>
  <si>
    <t>Fiz_2025_3</t>
  </si>
  <si>
    <t>Akmeni laika momentā t = 0 izsviež vertikāli augšup. Grafikā attēlota akmens ātruma projekcijas atkarība no laika. Iekrāsotais laukums Q atbilst veiktajam pārvietojuma modulim 5 m, laukums R atbilst pārvietojuma modulim 3 m. Gaisa pretestību neievēro.
Cik liels ir akmens pārvietojuma modulis grafikā attēlotajā kustības laikā?</t>
  </si>
  <si>
    <t>A) 2 m
B) 3 m
C) 5 m
D) 8 m</t>
  </si>
  <si>
    <t>Fiz_2025_4</t>
  </si>
  <si>
    <t>Skolēni pētīja sakarību starp gāzes spiedienu p un tilpumu V pie nemainīgas temperatūras T. Kurā gadījumā novilktā līnija vislabāk apraksta pētītās gāzes izotermisko procesu?</t>
  </si>
  <si>
    <t>Fiz_2025_5</t>
  </si>
  <si>
    <t>Vienatomu ideāla gāze var pāriet no stāvokļa X uz stāvokli Y procesā 1 vai 2.Salīdzini iekšējās enerģijas izmaiņu Delta U un pievadīto siltuma daudzumu Q procesā 1 un procesā 2!</t>
  </si>
  <si>
    <t>A) Delta U1 &gt; Delta U2, un Q1 &gt; Q2
B) Delta U1 = Delta U2, un Q1 &gt; Q2
C) Delta U1 = Delta U2, un Q1 = Q2
D) Delta U1 &lt; Delta U2, un Q1 &gt; Q2</t>
  </si>
  <si>
    <t>Fiz_2025_6</t>
  </si>
  <si>
    <t>Sildierīču automātiskajos slēdžos izmanto bimetāla plāksnīti, kas veidota no divu dažādu metālu vienāda garuma savstarpēji savienotām plāksnītēm. Plāksnīte sākumā nav deformēta.
Lineārās izplešanās koeficients alpha alumīnijs ir lielāks nekā alpha varš.
Kādu formu iegūst plāksnīte, ja to atdzesē?</t>
  </si>
  <si>
    <t>Fiz_2025_7</t>
  </si>
  <si>
    <t>Doti divi vienādi, pozitīvi, nekustīgi punktveida lādiņi ar vērtību Q. Punkts P ir viduspunkts starp šiem lādiņiem. Negatīvu punktveida lādiņu q novieto attēlā redzamajā pozīcijā un atbrīvo no miera stāvokļa. Gravitācijas un pretestības spēkus neievēro.
Kas notiks ar lādiņu q?</t>
  </si>
  <si>
    <t>A) virzīsies uz augšu, prom no punkta P
B) svārstīsies ap punktu P
C) tuvosies punktam P un tajā apstāsies
D) paliks turpat, kur bijis</t>
  </si>
  <si>
    <t>Fiz_2025_8</t>
  </si>
  <si>
    <t>Laboratorijas plītiņas sildelements veidots no metāla stieples.
Kurš grafiks vislabāk atbilst sildelementa elektriskās pretestības R atkarībai no temperatūras?</t>
  </si>
  <si>
    <t>Fiz_2025_9</t>
  </si>
  <si>
    <t>Visi ķēdē ieslēgtie rezistori ir vienādi. Vadu, ampērmetru un galvaniskā elementa pretestība ir neievērojami maza. Strāvas stiprums I1 = 0,6 A.
Cik liels ir strāvas stiprums I2 un I3?</t>
  </si>
  <si>
    <t>А) I2 = 0,9 A; I3 = 0,3 A
B) I2 = 0,6 A; I3 = 0,6 A
C) I2 = 1,2 A; I3 = 0,6 A
D) I2 = 1,8 A; I3 = 1,2 A</t>
  </si>
  <si>
    <t>Fiz_2025_10</t>
  </si>
  <si>
    <t>Caur spoli magnētiskā plūsma Φ mainās atkarībā no laika t, kā redzams grafikā. 
Kurš grafiks parāda spolē inducētā elektrodzinējspēka Ɛ atkarību no laika t?</t>
  </si>
  <si>
    <t>Fiz_2025_11</t>
  </si>
  <si>
    <t>Divi vienādi magnēti atrodas vienādā augstumā virs vienāda izmēra caurulēm.
Zem magnēta X novietota vara caurule, bet zem magnēta Z – plastmasas caurule.
Magnētus vienlaikus atbrīvo no miera stāvokļa. Magnēts X vara caurulē krīt būtiski lēnāk nekā magnēts Z plastmasas caurulē.
Izskaidro, kāpēc magnēts X krīt lēnāk!</t>
  </si>
  <si>
    <t>A) vara caurulē rodas virpuļstrāvas, kas rada krītošā magnēta magnētiskajam laukam pretēji vērstu magnētisko lauku
B) magnēts X pievelkas pie caurules malām, un palielinās berze starp cauruli un magnētu
C) vara caurulē ir lielāka gaisa pretestība ierobežotas gaisa kustības dēļ
D) vara caurule ir ar lielāku masu un līdz ar to – lielāku gravitācijas spēku, kas pievelk magnētu</t>
  </si>
  <si>
    <t>Fiz_2025_12</t>
  </si>
  <si>
    <t>Gaismas stars krīt no gaisa uz ledu, kā redzams attēlā.
Cik liels ir ledus absolūtais gaismas laušanas koeficients?</t>
  </si>
  <si>
    <t>A) 1,41
B) 1,31
C) 0,98
D) 0,76</t>
  </si>
  <si>
    <t>Fiz_2025_13</t>
  </si>
  <si>
    <t>Zilā gaisma krīt uz šķērsli, kuram ir divas šauras spraugas. Spraugu S₁ un S₂ platums ir mazāks nekā krītošās gaismas viļņa garums. Interferences maksimumi izvietojas pa līnijām, kuras apzīmētas ar cipariem.
Demonstrējot zilā gaismu aizstāj ar sarkano gaismu.
Kādas papildu izmaiņas jāveic, lai visu ar cipariem apzīmēto līniju virzieni nemainītos?</t>
  </si>
  <si>
    <t>A) jāpalielina spraugu platums
B) jāsamazina spraugu platums
C) spraugas jātuvina viena otrai
D) spraugas jāattālina viena no otras</t>
  </si>
  <si>
    <t>Fiz_2025_14</t>
  </si>
  <si>
    <t>Grafikā attēlota saites enerģija uz vienu nuklonu atoma kodolā atkarībā no nuklonu skaita.
Kurā norādītajā grafika posmā atomu kodoli ir visstabilākie?</t>
  </si>
  <si>
    <t>Kimija_2025_1</t>
  </si>
  <si>
    <t>Dotas vielu struktūrformulas. Kurā vielā var veidoties ūdeņraža ķīmiskās saites?</t>
  </si>
  <si>
    <t>Kimija_2025_2</t>
  </si>
  <si>
    <t>Amonjaku NH₃ ražo no slāpekļa N₂ un ūdeņraža H₂. Ražošanas procesā veidojas izejvielu un produkta maisījums. Grafikā attēlots amonjaka saturs (%) maisījumā atkarībā no spiediena un temperatūras.
Kā jāmaina temperatūra un spiediens, lai amonjaka iznākums palielinātos?</t>
  </si>
  <si>
    <t>A) jāpaaugstina temperatūra, jāpazemina spiediens
B) jāpazemina temperatūra, jāpazemina spiediens
C) jāpaaugstina temperatūra, jāpaaugstina spiediens
D) jāpazemina temperatūra, jāpaaugstina spiediens</t>
  </si>
  <si>
    <t>Kimija_2025_3</t>
  </si>
  <si>
    <t>Grafikā attēlota izejvielu un produkta koncentrācijas maiņa ķīmiskās pārvērtības gaitā:
2CO(g) + O₂(g) ⇄ 2CO₂(g)
Kurā gadījumā līkņu numuri atbilst vielu ķīmiskajām formulām?</t>
  </si>
  <si>
    <t>A) I – CO₂, II – CO, III – O₂
B) I – CO₂, II – O₂, III – CO
C) I – CO, II – CO₂, III – O₂
D) I – CO, II – O₂, III – CO₂</t>
  </si>
  <si>
    <t>Kimija_2025_4</t>
  </si>
  <si>
    <t>Zīmējumā attēlota galvaniskā elementa shēma.
Kurš jonu vienādojums apraksta galvaniskajā elementā notiekošo oksidēšanās–reducēšanās procesu?</t>
  </si>
  <si>
    <t>A) Cu²⁺ + Zn → Cu + Zn²⁺
B) Cu²⁺ + Zn²⁺ → Cu + Zn
C) Cu + Zn²⁺ → Cu²⁺ + Zn
D) Cu + Zn → Cu²⁺ + Zn²⁺</t>
  </si>
  <si>
    <t>Kimija_2025_5</t>
  </si>
  <si>
    <t>Grafikā attēlota pH skaitliskās vērtības izmaiņa skābju–bāzu titrēšanas eksperimenta gaitā.
Kurš indikators jāizmanto šāda eksperimenta veikšanai?</t>
  </si>
  <si>
    <t>A) bromfenolzilais
B) metilsarkanais
C) fenolftaleīns
D) timola zilais</t>
  </si>
  <si>
    <t>Kimija_2025_6</t>
  </si>
  <si>
    <t>Kurā gadījumā ir pareizi norādīts protolītiskais pāris?</t>
  </si>
  <si>
    <t>Kimija_2025_7</t>
  </si>
  <si>
    <t>Četrās mēģenēs bija viena un tā paša sāls šķīdums. Katrā mēģenē skolēns pievienoja cita sāls šķīdumu.
Dati par nogulšņu veidošanos attēloti zīmējumā.
Kurš katjons atradās analizētā sāls šķīdumā?</t>
  </si>
  <si>
    <t>A) Ag⁺
B) Ba²⁺
C) Fe²⁺
D) NH₄⁺</t>
  </si>
  <si>
    <t>Kimija_2025_8</t>
  </si>
  <si>
    <t>Kurā gadījumā vielu formulas atbilst vielu klasēm?</t>
  </si>
  <si>
    <t>Kimija_2025_9</t>
  </si>
  <si>
    <t>Dota polimēra ķīmiskā formula.
Kuru monomēru izmanto šī polimēra iegūšanā?</t>
  </si>
  <si>
    <t>Kimija_2025_10</t>
  </si>
  <si>
    <t>Kuras vielas ir izomēri?</t>
  </si>
  <si>
    <t>A) 1. un 4.
B) 2. un 4.
C) 2. un 3.
D) 1. un 3.</t>
  </si>
  <si>
    <t>Kimija_2025_11</t>
  </si>
  <si>
    <t>Kuri piederumi ir obligāti nepieciešami, lai veiktu spektrofotometrisko analīzi?</t>
  </si>
  <si>
    <t>A) 1. un 2.
B) 2. un 3.
C) Tikai 1.
D) Tikai 3.</t>
  </si>
  <si>
    <t>Kimija_2025_12</t>
  </si>
  <si>
    <t>Nātrija sulfāta Na₂SO₄ šķīšanas procesā norisinās šīs vielas elektrolītiskā disociācija:
Na₂SO₄ ⇄ 2Na⁺ + SO₄²⁻ + Q
Grafiks attēlo, kā piesātinātā Na₂SO₄ šķīdumā laika gaitā mainās jonu koncentrācija.
Kas notika brīdī t₁?</t>
  </si>
  <si>
    <t>A) šķīdumu atdzesēja
B) šķīdumu uzkarsēja
C) šķīdumam pievienoja H₂SO₄
D) šķīdumam pievienoja NaNO₃</t>
  </si>
  <si>
    <t>Bio_2025_1</t>
  </si>
  <si>
    <t>Attēlā ir redzama auga šūna.
Kura šūnas sastāvdaļa ir arī prokariotu šūnās?</t>
  </si>
  <si>
    <t>Bio_2025_2</t>
  </si>
  <si>
    <t>Aplūko enzīma un tā varbūtējo substrātu molekulu shēmiskos attēlus!
Kuri var būt šī enzīma substrāti?</t>
  </si>
  <si>
    <t>A) 1. un 3.
B) 1. un 2.
C) 2. un 3.
D) 3. un 4.</t>
  </si>
  <si>
    <t>Bio_2025_3</t>
  </si>
  <si>
    <t>Attēlā ir redzamas divas šūnas.
Kurai šūnai efektīvāk norisinās difūzija starp apkārtējo vidi un citoplazmu?</t>
  </si>
  <si>
    <t>A) šūnai X, jo tai ir mikrobārkstiņas
B) šūnai Y, jo tai ir gluda membrāna
C) šūnai X, jo tai ir mazāka virsmas laukuma un tilpuma attiecība
D) šūnai Y, jo tai ir lielāka virsmas laukuma un tilpuma attiecība</t>
  </si>
  <si>
    <t>Bio_2025_4</t>
  </si>
  <si>
    <t>Attēlā ir redzamas atvērtas un aizvērtas atvārsnītes.
Kādas izmaiņas atvārsnītes slēdējšūnās izraisa aizvēršanos?</t>
  </si>
  <si>
    <t>A) Ūdens plūsma slēdējšūnās: uzņem ūdeni; Turgora spiediena izmaiņas slēdējšūnās: palielinās
B) Ūdens plūsma slēdējšūnās: uzņem ūdeni; Turgora spiediena izmaiņas slēdējšūnās: samazinās
C) Ūdens plūsma slēdējšūnās: zaudē ūdeni; Turgora spiediena izmaiņas slēdējšūnās: samazinās
D) Ūdens plūsma slēdējšūnās: zaudē ūdeni; Turgora spiediena izmaiņas slēdējšūnās: palielinās</t>
  </si>
  <si>
    <t>Bio_2025_5</t>
  </si>
  <si>
    <t>Attēlā ir redzamas cilvēka plaušu alveolas ar asinsvadiem.
Oglekļa dioksīds palielina hidrogēnkarbonātjonu HCO₃⁻ koncentrāciju asins plazmā.
Kurā gadījumā parādīts pareizs hidrogēnkarbonātjonu HCO₃⁻ koncentrāciju (c) salīdzinājums asins plazmā?</t>
  </si>
  <si>
    <t>A) c₁ &lt; c₃
B) c₂ = c₁
C) c₃ &gt; c₂
D) c₁ &gt; c₃</t>
  </si>
  <si>
    <t>Bio_2025_6</t>
  </si>
  <si>
    <t>Attēlā parādīti ar reflektoriskajām reakcijām saistīti nervu ceļi. Ar X apzīmēts nervu ceļa bojājums.
Kā šis bojājums ietekmēs refleksu?</t>
  </si>
  <si>
    <t>A) persona nejutīs sāpes
B) persona neapzināsies, ka notiek reflekss
C) reflekss nevarēs notikt
D) refleksu nevarēs apzināti kontrolēt</t>
  </si>
  <si>
    <t>Bio_2025_7</t>
  </si>
  <si>
    <t>Ciltskokā parādīta autosomālas recesīvas slimības iedzimšana kādā dzimtā.
Kuriem dzimtas locekļiem viennozīmīgi ir heterozigotiskais genotips?</t>
  </si>
  <si>
    <t>A) 3, 4 un 5
B) 4, 5 un 7
C) 1, 3 un 6
D) 2, 4 un 7</t>
  </si>
  <si>
    <t>Bio_2025_8</t>
  </si>
  <si>
    <t>Attēlos redzamas mitozes fāzes.
Kura ir pareizā mitozes fāžu secība?</t>
  </si>
  <si>
    <t>A) 2 → 5 → 4 → 1 → 3 → 6
B) 2 → 5 → 1 → 3 → 6 → 4
C) 5 → 2 → 1 → 3 → 6 → 4
D) 4 → 6 → 3 → 1 → 5 → 2</t>
  </si>
  <si>
    <t>Bio_2025_9</t>
  </si>
  <si>
    <t>Attēlā ir redzama divu grauzēju sugu – lauka strupastes un lauka peles – skaita izmaiņas pļavas ekosistēmā. Abas sugas pārtiek no vienādas barības, un tām ir vienādi dabiskie ienaidnieki.
Kurš faktors, visticamāk, ietekmēja īpatņu skaita izmaiņas 2010. gadā?</t>
  </si>
  <si>
    <t>A) teritorijas apsaimniekošanas izmaiņas
B) plēsēju savairošanās
C) barības pieejamības izmaiņas
D) slimības izplatīšanās</t>
  </si>
  <si>
    <t>Bio_2025_10</t>
  </si>
  <si>
    <t>Shematiskajā attēlā ir redzama oglekļa aprite dabā.
Kurā atbildē pareizi norādīti ar X un Y apzīmētie procesi?</t>
  </si>
  <si>
    <t>A) X – fotosintēze, Y – barošanās
B) X – fotosintēze, Y – elpošana
C) X – elpošana, Y – barošanās
D) X – elpošana, Y – elpošana</t>
  </si>
  <si>
    <t>Bio_2025_11</t>
  </si>
  <si>
    <t>Aplūko kaķu dzimtas atzara filogenētisko koku!
Kurš apgalvojums par šo filogenētisko koku ir pareizs?</t>
  </si>
  <si>
    <t>A) dūmakainais leopards ir evolucionāri jaunāks nekā sniega leopards
B) jaguārs ir senāk veidojies nekā sniega leopards
C) leopards ir tuvāk radniecīgs sniega leopardam nekā jaguāram
D) lauva ir tuvāk radniecīgs leopardam nekā citām sugām</t>
  </si>
  <si>
    <t>Bio_2025_12</t>
  </si>
  <si>
    <t>Attēlā redzams segsēkļu jeb ziedaugu nodalījuma augs.
Kura pazīme ir noteicošā šī auga iekļaušanai segsēkļu nodalījumā?</t>
  </si>
  <si>
    <t>A) vairojas ar sporām
B) vairojas ar sēklām
C) augam ir saknes, stumbrs un lapas
D) augam ir zieds</t>
  </si>
  <si>
    <t>Bio_2025_13</t>
  </si>
  <si>
    <t>Dots kukaiņu kārtu noteicējs.
Kurai kārtai pieder attēlā redzamais kukainis?</t>
  </si>
  <si>
    <t>A) Hemiptera
B) Orthoptera
C) Hymenoptera
D) Diptera</t>
  </si>
  <si>
    <t>Bio_2025_14</t>
  </si>
  <si>
    <t>Lai pārbaudītu antibiotiku iedarbības efektivitāti uz konkrētām baktērijām, veic testu, audzējot baktērijas Petri trauciņos. Katrā trauciņā ievietots ar citu antibiotiku piesūcināts disks. Veicot testu ar 5 antibiotikām, tika iegūti grafikā redzamie rezultāti.
Kurā atbildē ir pareizi secinājumi par testa rezultātiem?</t>
  </si>
  <si>
    <t>A) 2. antibiotika uz baktērijām iedarbojas visspēcīgāk
B) 3. antibiotika uz baktērijām iedarbojas vāji
C) 5. antibiotika ir divas reizes efektīvāka nekā 2. antibiotika
D) visefektīvāk patogēnās baktērijas noārda 3. antibiotika</t>
  </si>
  <si>
    <t>Bio_2025_15</t>
  </si>
  <si>
    <t>Attēlā ir redzami augu DNS analīžu rezultāti. Zināms, ka X paraugs ir iegūts no ārstniecības auga un ārstnieciskas īpašības piemīt arī citiem šīs ģints augiem.
Kuri augi vēl ir no tās pašas ģints?</t>
  </si>
  <si>
    <t>A) 1. un 2.
B) 1. un 4.
C) 2. un 3.
D) 3. un 4.</t>
  </si>
  <si>
    <t>Bio_2025_16</t>
  </si>
  <si>
    <t>Attēlā redzama dzīvnieku pavairošanas tehnoloģija.
Kādu biotehnoloģisku procesu raksturo attēls?</t>
  </si>
  <si>
    <t>A) ģenētiski modificētu organismu iegūšanu, jo genomā tiek ievadīti dažādu sugu gēni
B) terapeitisko klonēšanu, jo iegūtie šūnu kloni tiek izmantoti govju veselības nodrošināšanai
C) audu kultūru metodi, jo iegūtie kloni ir ģenētiski identiski abiem vecākiem
D) reproduktīvo klonēšanu, jo tiek klonēts embrijs</t>
  </si>
  <si>
    <t>Mat_2023_101</t>
  </si>
  <si>
    <t>Dots grafiks funkcijai f(x) = -2 / (x + 3) - 1, 
kur D(f) = (-∞; -3) ∪ (-3; +∞). Aprēķini vai nosaki no grafika f(-1).</t>
  </si>
  <si>
    <t>Nav</t>
  </si>
  <si>
    <t>Mat_2023_102</t>
  </si>
  <si>
    <t>Dots grafiks funkcijai f(x) = -2 / (x + 3) - 1, 
kur D(f) = (-∞; -3) ∪ (-3; +∞). Aprēķini x, ja funkcijas vērtība ir 5.</t>
  </si>
  <si>
    <t>x = -3(1/3)</t>
  </si>
  <si>
    <t>Mat_2023_103</t>
  </si>
  <si>
    <t>Sadali reizinātājos izteiksmi x²(x − 2) + 3(x − 2).</t>
  </si>
  <si>
    <t>(𝑥−2)(𝑥2+3)</t>
  </si>
  <si>
    <t>Mat_2023_104</t>
  </si>
  <si>
    <t>Izdali daļas, iegūto daļu saīsini:
(x³ − 27) / (3x − 9) : (x² + 3x + 9) / x</t>
  </si>
  <si>
    <t>x/3</t>
  </si>
  <si>
    <t>Mat_2023_105</t>
  </si>
  <si>
    <t>Atrisini nevienādību:
(x + 1) / (2 − x) &gt; 0</t>
  </si>
  <si>
    <t>(−1;2)</t>
  </si>
  <si>
    <t>Mat_2023_106</t>
  </si>
  <si>
    <t>Atrisini vienādojumu 3²ˣ + 9 · 3²ˣ⁻¹ = 324.</t>
  </si>
  <si>
    <t>x = 2</t>
  </si>
  <si>
    <t>Mat_2023_107</t>
  </si>
  <si>
    <t xml:space="preserve">Koordinātu plaknē doti punkti R(–3; –2) un F(5; 0).
Nosaki vienādojumu taisnei RF un uzraksti to 
formā y = kx + b, kur k un b ir reāli skaitļi. </t>
  </si>
  <si>
    <t>y = 1/4x - 5/4</t>
  </si>
  <si>
    <t>Mat_2023_108</t>
  </si>
  <si>
    <t>Koordinātu plaknē doti punkti R(–3; –2) un F(5; 0). Nosaki vienādojumu taisnei, kas paralēla taisnei RF un iet caur punktu K(0; 1).</t>
  </si>
  <si>
    <t>y = 1/4x + 1</t>
  </si>
  <si>
    <t>Mat_2023_109</t>
  </si>
  <si>
    <t>Dots taisnstūra paralēlskaldnis ABCDFGHE, kur  
A(0; 0; 0) un H(4; 5; 3).
Nosaki diagonāles AH viduspunkta M 
koordinātas.</t>
  </si>
  <si>
    <t>M(2;2,5;1,5)</t>
  </si>
  <si>
    <t>Mat_2023_110</t>
  </si>
  <si>
    <t>Dots, ka 2cos²x + cosx − 1 = 0. Aprēķini cosx (x nav jāaprēķina).</t>
  </si>
  <si>
    <t>cos x = −1 
un 
cos x = 1/2</t>
  </si>
  <si>
    <t>Mat_2023_111</t>
  </si>
  <si>
    <t>Dots grafiks funkcijai f(x) = 2sin(x + π/3), kur D(f) = R. Nosaki funkcijas f(x) mazāko vērtību.</t>
  </si>
  <si>
    <t>Mat_2023_112</t>
  </si>
  <si>
    <t>Četrciparu skaitļa ciparu summa ir 35. Nosaki šī skaitļa pierakstam izmantotos ciparus un 
to skaitu. Pamato, ka citu iespēju nav.</t>
  </si>
  <si>
    <t>9, 9, 9, 8</t>
  </si>
  <si>
    <t>Mat_2023_113</t>
  </si>
  <si>
    <t xml:space="preserve">Uzraksti visus četrciparu skaitļus, kuru ciparu summa ir 35. </t>
  </si>
  <si>
    <t>8999, 9899, 9989, 9998</t>
  </si>
  <si>
    <t>Mat_2023_114</t>
  </si>
  <si>
    <t>Uzņēmums plāno pieņemt darbā jaunus darbiniekus, kuriem paredzēti vienādi amati. Zināms, ka no 17 kandidātiem tieši 8 ir ar augstāko izglītību. Aprēķini, cik dažādos veidos var izvēlēties četrus darbiniekus, lai tieši trīs no tiem būtu ar augstāko izglītību.</t>
  </si>
  <si>
    <t>Mat_2023_115</t>
  </si>
  <si>
    <t>Urnā ir 9 baltas un 7 melnas bumbiņas (citu bumbiņu urnā nav). No urnas izņēma vienu bumbiņu un, 
neatliekot to atpakaļ, izņēma otru bumbiņu. 
Aprēķini varbūtību, ka pirmā izņemtā bumbiņa ir balta. Atbildi pieraksti kā parasto daļu.</t>
  </si>
  <si>
    <t>9/16</t>
  </si>
  <si>
    <t>Mat_2023_116</t>
  </si>
  <si>
    <t>Urnā ir 9 baltas un 7 melnas bumbiņas (citu bumbiņu urnā nav). No urnas izņēma vienu bumbiņu un, 
neatliekot to atpakaļ, izņēma otru bumbiņu. 
Aprēķini varbūtību, ka otrā izņemtā bumbiņa ir balta, ja pirmā izņemtā bumbiņa ir balta. 
Atbildi pieraksti kā parasto daļu.</t>
  </si>
  <si>
    <t>8/15</t>
  </si>
  <si>
    <t>Mat_2023_117</t>
  </si>
  <si>
    <t>Aprēķini noguldījuma summas lielumu pēc trīs gadiem, ja ikgadējā procentu likme ir 8 % 
un sākotnēji tika noguldīti 5000 EUR.</t>
  </si>
  <si>
    <t>Mat_2023_118</t>
  </si>
  <si>
    <t>Ikgadējā procentu likme ir 8 % 
un sākotnēji tika noguldīti 5000 EUR. Aprēķini, kādai jābūt procentu likmei, lai sākotnējais noguldījums trīs gadu laikā dubultotos. 
Atbildi noapaļo līdz veseliem procentiem.</t>
  </si>
  <si>
    <t>26%</t>
  </si>
  <si>
    <t>Mat_2023_119</t>
  </si>
  <si>
    <t xml:space="preserve">Datu kopa sastāv no 50 elementiem un to vidējais aritmētiskais ir 9,2. Datu kopu papildina ar vēl vienu 
elementu a. Nosaki visas iespējamās a vērtības, lai vidējais aritmētiskais jaunajai datu kopai būtu intervālā 
[9,6; 10,2]. </t>
  </si>
  <si>
    <r>
      <rPr>
        <sz val="12"/>
        <color theme="1"/>
        <rFont val="Times New Roman"/>
        <charset val="134"/>
      </rPr>
      <t>29,6≤</t>
    </r>
    <r>
      <rPr>
        <sz val="12"/>
        <color theme="1"/>
        <rFont val="Calibri"/>
        <charset val="134"/>
      </rPr>
      <t>_xd835_</t>
    </r>
    <r>
      <rPr>
        <sz val="12"/>
        <color theme="1"/>
        <rFont val="Times New Roman"/>
        <charset val="134"/>
      </rPr>
      <t>a ≤60,2</t>
    </r>
  </si>
  <si>
    <t>Mat_2023_120</t>
  </si>
  <si>
    <t xml:space="preserve">Attālums no sporta bāzes līdz viesnīcai ir 12 km. No bāzes uz viesnīcu devās sportists, bet pēc 45 min 
tam sekoja otrs sportists. Otrā sportista iešanas ātrums bija par 2 km/h lielāks, tāpēc viesnīcā viņš nonāca  
15 min pirms pirmā sportista. Izveido vienādojumu vai vienādojumu sistēmu (situācijas matemātisko 
modeli) un aprēķini pirmā sportista ātrumu. </t>
  </si>
  <si>
    <t>Mat_2023_121</t>
  </si>
  <si>
    <t>Zināms, ka α + β = 180°. Pierādi, ka dotā vienādība ir identitāte.
(1 − sin²α) / (−cosα) = cos²(β/2) − sin²(β/2)</t>
  </si>
  <si>
    <r>
      <rPr>
        <sz val="12"/>
        <color theme="1"/>
        <rFont val="Times New Roman"/>
        <charset val="134"/>
      </rPr>
      <t>cos(180° −</t>
    </r>
    <r>
      <rPr>
        <sz val="12"/>
        <color theme="1"/>
        <rFont val="Calibri"/>
        <charset val="134"/>
      </rPr>
      <t>_xd835_</t>
    </r>
    <r>
      <rPr>
        <sz val="12"/>
        <color theme="1"/>
        <rFont val="Times New Roman"/>
        <charset val="134"/>
      </rPr>
      <t>a)=−cos a</t>
    </r>
  </si>
  <si>
    <t>Mat_2023_122</t>
  </si>
  <si>
    <t xml:space="preserve">Slīpas trijstūra prizmas visu šķautņu garumi vienādi ar a. 
Sānu šķautne ar pamata plakni veido 30° leņķi. Aprēķini prizmas tilpumu.  </t>
  </si>
  <si>
    <t xml:space="preserve">(a³√3) / 8
 </t>
  </si>
  <si>
    <t>Mat_2023_123</t>
  </si>
  <si>
    <t>Ap riņķa līniju apvilktas vienādsānu trapeces pamatu garumi ir 3 cm un 12 cm. Aprēķini trapeces sānu 
malas garumu.</t>
  </si>
  <si>
    <t xml:space="preserve">x = 7,5 cm </t>
  </si>
  <si>
    <t>Mat_2023_124</t>
  </si>
  <si>
    <t xml:space="preserve">Vienādsānu trijstūris ABC ir ievilkts riņķa līnijā, un leņķis A = 100°.
Aprēķini loka AnB leņķisko lielumu. </t>
  </si>
  <si>
    <t>80°</t>
  </si>
  <si>
    <t>Mat_2023_125</t>
  </si>
  <si>
    <t xml:space="preserve">Aprēķini leņķi starp vektoriem a = (0; 0; –1) un b = (–1; 0; 1). </t>
  </si>
  <si>
    <t>135°</t>
  </si>
  <si>
    <t>Mat_2023_126</t>
  </si>
  <si>
    <t>Atrisini vienādojumu.
tg(2x + π/3) = −√3</t>
  </si>
  <si>
    <t>x = −π/3 + πn/2</t>
  </si>
  <si>
    <t>Mat_2023_127</t>
  </si>
  <si>
    <t>Aprēķini nenoteikto integrāli.
∫(6x − 1)dx</t>
  </si>
  <si>
    <t>3x² − x + C</t>
  </si>
  <si>
    <t>Mat_2023_128</t>
  </si>
  <si>
    <t>Aprēķini noteikto integrāli.
∫ no 1 līdz 3 (6x − 1)dx</t>
  </si>
  <si>
    <t>Mat_2023_129</t>
  </si>
  <si>
    <t>Izdali polinomu 2x3 + 6x2 – 5x + 12 ar binomu x + 4.</t>
  </si>
  <si>
    <t>2x² − 2x + 3</t>
  </si>
  <si>
    <t>Mat_2023_130</t>
  </si>
  <si>
    <t>Diskrēta gadījuma lieluma vērtības ir x₁, x₂ un x₃ (citu vērtību nav). Dotas varbūtības p(x₁) = 1/2 un p(x₂) = 1/6.
Aprēķini p(x₃).</t>
  </si>
  <si>
    <t>1/3</t>
  </si>
  <si>
    <t>Mat_2023_131</t>
  </si>
  <si>
    <t>Saīsini daļu.
n! / (n − 2)! =</t>
  </si>
  <si>
    <t>(𝑛−1)𝑛</t>
  </si>
  <si>
    <t>Mat_2024_101</t>
  </si>
  <si>
    <t>Dots grafiks funkcijai f(x) = 1 / 3x + 1, kur D(f) = (−∞; 0) U (0; +∞).
Salīdzini f(−2) un f(−1), izmantojot grafiku.</t>
  </si>
  <si>
    <r>
      <rPr>
        <sz val="12"/>
        <color theme="1"/>
        <rFont val="Times New Roman"/>
        <charset val="204"/>
      </rPr>
      <t>f(−2) &gt;</t>
    </r>
    <r>
      <rPr>
        <sz val="12"/>
        <color theme="1"/>
        <rFont val="Calibri"/>
        <charset val="204"/>
      </rPr>
      <t>_xd835_</t>
    </r>
    <r>
      <rPr>
        <sz val="12"/>
        <color theme="1"/>
        <rFont val="Times New Roman"/>
        <charset val="204"/>
      </rPr>
      <t xml:space="preserve"> f(−1)</t>
    </r>
  </si>
  <si>
    <t>Mat_2024_102</t>
  </si>
  <si>
    <t>Dots grafiks funkcijai f(x) = 1 / 3x + 1, kur D(f) = (−∞; 0) U (0; +∞). Nosaki funkcijas f(x) = 1 / 3x + 1 vērtību kopu.</t>
  </si>
  <si>
    <t>E(f)=(−∞;1)U(1;+∞)</t>
  </si>
  <si>
    <t>Mat_2024_103</t>
  </si>
  <si>
    <t>Dots grafiks funkcijai f(x) = 1 / 3x + 1, kur D(f) = (−∞; 0) U (0; +∞). Punkts (m; 2) pieder funkcijas grafikam. Aprēķini m skaitlisko vērtību.</t>
  </si>
  <si>
    <t>m = 1/3</t>
  </si>
  <si>
    <t>Mat_2024_104</t>
  </si>
  <si>
    <t>Uzraksti daļu, kuras skaitītājs ir skaitlis divi un saucējs ir skaitļu x un y kubu summa.</t>
  </si>
  <si>
    <t>2 / (x³ + y³)</t>
  </si>
  <si>
    <t>Mat_2024_105</t>
  </si>
  <si>
    <t>Dota ģeometriskā progresija 12; 30; ... . Nosaki ģeometriskās progresijas kvocientu.</t>
  </si>
  <si>
    <t xml:space="preserve">q = 2,5 </t>
  </si>
  <si>
    <t>Mat_2024_106</t>
  </si>
  <si>
    <t>Sadali reizinātājos izteiksmi x³ − 3x² + 2x, uzrakstot to kā trīs polinomu reizinājumu.</t>
  </si>
  <si>
    <t>x(x−1)(x−2)</t>
  </si>
  <si>
    <t>Mat_2024_107</t>
  </si>
  <si>
    <t>Atrisini nevienādību
(x + 5) / (1 − x) &gt; 0</t>
  </si>
  <si>
    <t>(-5;1)</t>
  </si>
  <si>
    <t>Mat_2024_108</t>
  </si>
  <si>
    <t xml:space="preserve">Nosaki septiņstūra piramīdas skaldņu skaitu. </t>
  </si>
  <si>
    <t>Mat_2024_109</t>
  </si>
  <si>
    <t>Regulāras četrstūra piramīdas pamata laukums ir 25 cm2 un sānu virsmas laukums ir 50 cm2. Aprēķini 
divplakņu kakta leņķa pie pamata lielumu grādos.</t>
  </si>
  <si>
    <t>60°</t>
  </si>
  <si>
    <t>Mat_2024_110</t>
  </si>
  <si>
    <t>Taisnleņķa trijstūris, kura katešu garumi ir 4 cm un 3 cm, rotē ap īsāko kateti. Nosaki iegūtā rotācijas ķermeņa 
rādiusa garumu.</t>
  </si>
  <si>
    <t xml:space="preserve">4 cm </t>
  </si>
  <si>
    <t>Mat_2024_111</t>
  </si>
  <si>
    <t xml:space="preserve">Lodes rādiuss ir 10 cm, tā ir ievilkta kubā. Nosaki kuba šķautnes garumu.  </t>
  </si>
  <si>
    <t>20 cm</t>
  </si>
  <si>
    <t>Mat_2024_112</t>
  </si>
  <si>
    <t>Lodes rādiuss ir 10 cm, tā ir ievilkta kubā. Nosaki, cik kopīgi punkti ir lodes un kuba virsmai.</t>
  </si>
  <si>
    <t>Mat_2024_113</t>
  </si>
  <si>
    <t>Izsaki leņķa 4π / 5 lielumu grādos.</t>
  </si>
  <si>
    <t>144°</t>
  </si>
  <si>
    <t>Mat_2024_114</t>
  </si>
  <si>
    <t>Dots pagrieziena leņķis α un punkts P(3/5; 4/5), kurš atrodas uz vienības riņķa līnijas. Nosaki sinα.</t>
  </si>
  <si>
    <t>4/5</t>
  </si>
  <si>
    <t>Mat_2024_115</t>
  </si>
  <si>
    <t>Atrisini vienādojumu sinx = 1, ja x ∈ [0; 2π].</t>
  </si>
  <si>
    <t>x = π/2</t>
  </si>
  <si>
    <t>Mat_2024_116</t>
  </si>
  <si>
    <t>Dots grafiks funkcijai y = 3cos2x, kur D(y) = (−∞; +∞).
Nosaki dotās funkcijas periodu T grādos vai radiānos.</t>
  </si>
  <si>
    <t>π</t>
  </si>
  <si>
    <t>Mat_2024_117</t>
  </si>
  <si>
    <t>Nosaki vienādojuma 3cos2x = 0 sakņu skaitu intervālā x ∈ [−π; π/2].</t>
  </si>
  <si>
    <t>3</t>
  </si>
  <si>
    <t>Mat_2024_118</t>
  </si>
  <si>
    <t>Saīsini daļu.
sin(3π/2 + x) / sin2x =</t>
  </si>
  <si>
    <t>-1 / (2sinx)</t>
  </si>
  <si>
    <t>Mat_2024_119</t>
  </si>
  <si>
    <t>Dota kopa A = {1; 3; 5; 7}.
Uzraksti kopas A apakškopu B, kura sastāv no diviem vai trīs kopas A elementiem.</t>
  </si>
  <si>
    <t xml:space="preserve">
B={1;5;7} </t>
  </si>
  <si>
    <t>Mat_2025_101</t>
  </si>
  <si>
    <t xml:space="preserve">Rotaļu istabas baseina garums 200 cm, platums 150 cm un augstums 40 cm. Tas ir jāpiepilda ar 
plastmasas bumbiņām, kuru diametrs ir 7 cm. Bumbiņām jāaizņem ne vairāk kā 20 % no baseina tilpuma. 
Aprēķini lielāko skaitu bumbiņu, ko varētu ievietot baseinā. 
Ja nepieciešams, tad starprezultātus noapaļo līdz atbilstošās mērvienības desmitdaļām. </t>
  </si>
  <si>
    <t>1336</t>
  </si>
  <si>
    <t>Mat_2025_102</t>
  </si>
  <si>
    <t>Stacija atrodas 3 km attālumā no Anetes mājas. Pirmos divus kilometrus viņa gāja 
ar vienu ātrumu un atlikušajā ceļa posmā palielināja ātrumu par 2 km/h. Pēc 52 minūtēm viņa nokļuva 
stacijā. Cik km/h liels bija Anetes ātrums pirmajos divos kilometros?</t>
  </si>
  <si>
    <t>Mat_2025_103</t>
  </si>
  <si>
    <t>Maija un Andris spēlē spēli. Katrā gājienā ripina vienu spēļu kauliņu, kuram ir sešas skaldnes. Ja spēlētājs 
uzripina 1, 2 vai 3, tad viņš uzvar (tas nozīmē, ka spēle beidzas), ja spēlētājs uzripina 6, tad viņš zaudē 
(tas nozīmē, ka spēle beidzas), ja spēlētājs uzripina 4 vai 5, tad  spēle turpinās un gājiens tiek nodots 
otram spēlētājam. Uzraksti izteiksmi, kas apraksta varbūtību, ka spēle beigsies pēc n-tā gājiena.</t>
  </si>
  <si>
    <t>2 / 3ⁿ</t>
  </si>
  <si>
    <t>Mat_2025_104</t>
  </si>
  <si>
    <t>Maija un Andris spēlē spēli. Katrā gājienā ripina vienu spēļu kauliņu, kuram ir sešas skaldnes. Ja spēlētājs 
uzripina 1, 2 vai 3, tad viņš uzvar (tas nozīmē, ka spēle beidzas), ja spēlētājs uzripina 6, tad viņš zaudē 
(tas nozīmē, ka spēle beidzas), ja spēlētājs uzripina 4 vai 5, tad  spēle turpinās un gājiens tiek nodots 
otram spēlētājam. Nosaki varbūtību, ka pēc 1. gājiena spēle turpināsies.</t>
  </si>
  <si>
    <t>Mat_2025_105</t>
  </si>
  <si>
    <t>Noteikta veida riekstu maisījuma paciņas vidējā masa ir 180 g,  standartnovirze ir 4 g, dati atbilst normālajam 
sadalījumam. Nosaki, cik % no visu paciņu masām atrodas intervālā (180 g; 188 g)</t>
  </si>
  <si>
    <t>47,7%</t>
  </si>
  <si>
    <t>Mat_2025_106</t>
  </si>
  <si>
    <t>Aprēķini atlikumu, kuru iegūst, ja polinomu P(x) = x¹⁰⁰ − 3x¹⁷ + 5 dala ar binomu x − 1.</t>
  </si>
  <si>
    <t>Mat_2025_107</t>
  </si>
  <si>
    <t>Atvasini funkciju g(x) = ln(3x + 4).</t>
  </si>
  <si>
    <t xml:space="preserve">
1 / (3x + 4) · 3 = 3 / (3x + 4)</t>
  </si>
  <si>
    <t>Mat_2025_108</t>
  </si>
  <si>
    <t>Šaha turnīrā piedalījās 2 sievietes un daži vīrieši. Katrs turnīra dalībnieks ar katru tā dalībnieku izspēlēja 2 partijas. Vīrieši savā starpā izspēlēja par 50 partijām vairāk nekā sievietes ar vīriešiem. Cik vīriešu piedalījās turnīrā?</t>
  </si>
  <si>
    <t>10</t>
  </si>
  <si>
    <t>Mat_2025_109</t>
  </si>
  <si>
    <t>Augļu grozā ir 6 āboli un 5 bumbieri. Ieliekot grozā vēl dažus bumbierus, varbūtība no groza izņemt 
bumbieri ir 0,7. Aprēķini, cik bumbieru ielika grozā.</t>
  </si>
  <si>
    <t>9</t>
  </si>
  <si>
    <t>Mat_2025_110</t>
  </si>
  <si>
    <t>Taisne iet caur punktu P(–3; 1) un tās virziena koeficients ir k = 2. Uzraksti taisnes vienādojumu formā  
Ax + By + C = 0, kur A, B un C ir veseli skaitļi.</t>
  </si>
  <si>
    <t>2x - y + 7 = 0</t>
  </si>
  <si>
    <t>Modelis</t>
  </si>
  <si>
    <t>Režīms</t>
  </si>
  <si>
    <t>Atbilde</t>
  </si>
  <si>
    <t>Rezultāts</t>
  </si>
  <si>
    <t>Gemma-4</t>
  </si>
  <si>
    <t>LV-orig-image</t>
  </si>
  <si>
    <t>Jautājumu skaits</t>
  </si>
  <si>
    <t>Pareizas atbildes</t>
  </si>
  <si>
    <t>Nepareizas atbildes</t>
  </si>
  <si>
    <t>Precizitāte (%)</t>
  </si>
  <si>
    <t>LV-orig-text</t>
  </si>
  <si>
    <t>Priekšmēts</t>
  </si>
  <si>
    <t>-2</t>
  </si>
  <si>
    <t>x = -10/3</t>
  </si>
  <si>
    <t>(x−2)(x2+3)</t>
  </si>
  <si>
    <t>2</t>
  </si>
  <si>
    <t>504</t>
  </si>
  <si>
    <t>29,6≤ a ≤60,2</t>
  </si>
  <si>
    <t>cos(180∘−x)=−cosx</t>
  </si>
  <si>
    <t xml:space="preserve">cos(180° − a)=−cos a </t>
  </si>
  <si>
    <t>A*(a/2)</t>
  </si>
  <si>
    <t>4,5</t>
  </si>
  <si>
    <t>π/6 + kπ/2</t>
  </si>
  <si>
    <t>22</t>
  </si>
  <si>
    <t>f(−2) &gt; f(−1)</t>
  </si>
  <si>
    <t>(−∞,0)∪(0,+∞)</t>
  </si>
  <si>
    <t>m = - 1/6</t>
  </si>
  <si>
    <t>14</t>
  </si>
  <si>
    <t>20√3</t>
  </si>
  <si>
    <t>6</t>
  </si>
  <si>
    <t>180°</t>
  </si>
  <si>
    <t>− 1/2csc(x)</t>
  </si>
  <si>
    <t>Ar diviem elementiem: {{1,3},{1,5},{1,7},{3,5},{3,7},{5,7}}{{1,3},{1,5},{1,7},{3,5},{3,7},{5,7}}
Ar trim elementiem: {{1,3,5},{1,3,7},{1,5,7},{3,5,7}}{{1,3,5},{1,3,7},{1,5,7},{3,5,7}}</t>
  </si>
  <si>
    <t xml:space="preserve">
B={1;5;7}, vai
B={1;3;5}, vai
B={3;5;7} </t>
  </si>
  <si>
    <t>2/3</t>
  </si>
  <si>
    <t>47,72%</t>
  </si>
  <si>
    <t xml:space="preserve">
3 / (3x + 4)</t>
  </si>
  <si>
    <t>Qwen2.5</t>
  </si>
  <si>
    <t>x = 1</t>
  </si>
  <si>
    <t>y = -x/2 - 1</t>
  </si>
  <si>
    <t>y = 1/4x + b</t>
  </si>
  <si>
    <t>cos x = (-1 + √5)/4
cos x = (-1 - √5)/4</t>
  </si>
  <si>
    <t>1, 2, 4, 8</t>
  </si>
  <si>
    <t>9876
9870
9864
9858</t>
  </si>
  <si>
    <t>0,2111</t>
  </si>
  <si>
    <t>121/240</t>
  </si>
  <si>
    <t>6298,5</t>
  </si>
  <si>
    <t>37%</t>
  </si>
  <si>
    <t>−403,−359.11,−316.33,...,0</t>
  </si>
  <si>
    <t>4</t>
  </si>
  <si>
    <t xml:space="preserve">(a2√3) / 2
 </t>
  </si>
  <si>
    <t>x = 6,19</t>
  </si>
  <si>
    <t>(x+4)(2x2−1)</t>
  </si>
  <si>
    <t>(n−1)𝑛</t>
  </si>
  <si>
    <t>f(−2) &lt;f(−1)</t>
  </si>
  <si>
    <t>(−∞;0)U(0;+∞)</t>
  </si>
  <si>
    <t>-1/6</t>
  </si>
  <si>
    <t>(x³ + y³)/2</t>
  </si>
  <si>
    <t>2,5</t>
  </si>
  <si>
    <t>90°</t>
  </si>
  <si>
    <t>2,5cm</t>
  </si>
  <si>
    <t>8</t>
  </si>
  <si>
    <t>B={{1,3},{1,5},{1,7},{1,3,5},{1,3,7},{1,5,7}}</t>
  </si>
  <si>
    <t>6680</t>
  </si>
  <si>
    <t>13,5%</t>
  </si>
  <si>
    <t>5</t>
  </si>
  <si>
    <t>-2x + y - 7 = 0</t>
  </si>
  <si>
    <t>Qwen3.5</t>
  </si>
  <si>
    <t>y=0.25x−1.25</t>
  </si>
  <si>
    <t>y=0.25x+1</t>
  </si>
  <si>
    <t>{ -1; \frac{1}{2} }</t>
  </si>
  <si>
    <t>9998, 9989, 9899, 8999</t>
  </si>
  <si>
    <t>[29,6;60,2]</t>
  </si>
  <si>
    <t xml:space="preserve">
KP=LP</t>
  </si>
  <si>
    <t>130°</t>
  </si>
  <si>
    <t xml:space="preserve">π/6 + kπ/2
​
 </t>
  </si>
  <si>
    <t>n(n−1)</t>
  </si>
  <si>
    <t>(−∞;0)∪(0;+∞)</t>
  </si>
  <si>
    <t>4 cm</t>
  </si>
  <si>
    <t>11,55 cm</t>
  </si>
  <si>
    <t>{1,3},{1,5},{1,7},{3,5},{3,7},{5,7},{1,3,5},{1,3,7},{1,5,7},{3,5,7}</t>
  </si>
  <si>
    <t>$$ g'(x) = \frac{3}{3x + 4} $$</t>
  </si>
  <si>
    <t>Chat GPT-5</t>
  </si>
  <si>
    <t>29,6≤_xd835_a ≤60,2</t>
  </si>
  <si>
    <t xml:space="preserve">cos(180° −_xd835_a)=−cos a𝛼 </t>
  </si>
  <si>
    <t>x = -π/2 + (πn)/2</t>
  </si>
  <si>
    <t>f(−2) &gt;_xd835_ f(−1)</t>
  </si>
  <si>
    <t xml:space="preserve">
B={1;3;5} </t>
  </si>
  <si>
    <t>(1/3)^(n-1) * (2/3)</t>
  </si>
  <si>
    <t>(x-2)(x2+3)</t>
  </si>
  <si>
    <t>Pirms RAG</t>
  </si>
  <si>
    <t>Pēc RAG</t>
  </si>
  <si>
    <t>(-1;2)</t>
  </si>
  <si>
    <t>x=2</t>
  </si>
  <si>
    <t>cos x = 1/2</t>
  </si>
  <si>
    <t>cos x = -1 
un 
cos x = 1/2</t>
  </si>
  <si>
    <t>101, 102 un 103</t>
  </si>
  <si>
    <t>101, 102, 103</t>
  </si>
  <si>
    <t>2380</t>
  </si>
  <si>
    <t>3/5</t>
  </si>
  <si>
    <t xml:space="preserve">cos(180° - a)=-cos a </t>
  </si>
  <si>
    <t>a³</t>
  </si>
  <si>
    <t>15 cm</t>
  </si>
  <si>
    <t>x = -π/3 + πn/2</t>
  </si>
  <si>
    <t>3x² - x + C</t>
  </si>
  <si>
    <t>(x+4)(2x+2+4x-1)</t>
  </si>
  <si>
    <t>2x² - 2x + 3</t>
  </si>
  <si>
    <t>(n-1)𝑛</t>
  </si>
  <si>
    <t>f(-2) &gt; f(-1)</t>
  </si>
  <si>
    <t>y ∈ (0; +∞)</t>
  </si>
  <si>
    <t>E(f)=(-∞;1)U(1;+∞)</t>
  </si>
  <si>
    <t>x(x-1)(x-2)</t>
  </si>
  <si>
    <t>7</t>
  </si>
  <si>
    <t>45,8°</t>
  </si>
  <si>
    <t>√21</t>
  </si>
  <si>
    <t>20</t>
  </si>
  <si>
    <t>(3/6)^n + (4/6)^((n-1)/2)</t>
  </si>
  <si>
    <t>47.7%</t>
  </si>
  <si>
    <t>3 / (3x + 4)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</si>
</sst>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 #\.##0.00\ &quot;₽&quot;_-;\-* #\.##0.00\ &quot;₽&quot;_-;_-* \-??\ &quot;₽&quot;_-;_-@_-"/>
    <numFmt numFmtId="178" formatCode="_-* #\.##0_-;\-* #\.##0_-;_-* &quot;-&quot;_-;_-@_-"/>
    <numFmt numFmtId="179" formatCode="_-* #\.##0\ &quot;₽&quot;_-;\-* #\.##0\ &quot;₽&quot;_-;_-* \-\ &quot;₽&quot;_-;_-@_-"/>
  </numFmts>
  <fonts count="31">
    <font>
      <sz val="11"/>
      <color theme="1"/>
      <name val="Calibri"/>
      <charset val="204"/>
      <scheme val="minor"/>
    </font>
    <font>
      <b/>
      <sz val="12"/>
      <color theme="0"/>
      <name val="Times New Roman"/>
      <charset val="204"/>
    </font>
    <font>
      <sz val="12"/>
      <color theme="1"/>
      <name val="Times New Roman"/>
      <charset val="204"/>
    </font>
    <font>
      <sz val="12"/>
      <color theme="1"/>
      <name val="Times New Roman"/>
      <charset val="134"/>
    </font>
    <font>
      <b/>
      <sz val="11"/>
      <color rgb="FF3F3F3F"/>
      <name val="Calibri"/>
      <charset val="134"/>
      <scheme val="minor"/>
    </font>
    <font>
      <sz val="12"/>
      <name val="Times New Roman"/>
      <charset val="204"/>
    </font>
    <font>
      <sz val="12"/>
      <name val="Times New Roman"/>
      <charset val="134"/>
    </font>
    <font>
      <sz val="12"/>
      <color rgb="FF0F0F0F"/>
      <name val="Times New Roman"/>
      <charset val="204"/>
    </font>
    <font>
      <b/>
      <sz val="12"/>
      <color rgb="FF3F3F3F"/>
      <name val="Times New Roman"/>
      <charset val="134"/>
    </font>
    <font>
      <b/>
      <sz val="12"/>
      <color rgb="FF3F3F3F"/>
      <name val="Times New Roman"/>
      <charset val="20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theme="1"/>
      <name val="Calibri"/>
      <charset val="204"/>
    </font>
    <font>
      <sz val="12"/>
      <color theme="1"/>
      <name val="Calibri"/>
      <charset val="134"/>
    </font>
  </fonts>
  <fills count="35">
    <fill>
      <patternFill patternType="none"/>
    </fill>
    <fill>
      <patternFill patternType="gray125"/>
    </fill>
    <fill>
      <patternFill patternType="solid">
        <fgColor theme="6"/>
        <bgColor theme="6"/>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top style="thin">
        <color theme="6"/>
      </top>
      <bottom style="thin">
        <color theme="6"/>
      </bottom>
      <diagonal/>
    </border>
    <border>
      <left style="thin">
        <color rgb="FF3F3F3F"/>
      </left>
      <right style="thin">
        <color rgb="FF3F3F3F"/>
      </right>
      <top style="thin">
        <color rgb="FF3F3F3F"/>
      </top>
      <bottom/>
      <diagonal/>
    </border>
    <border>
      <left style="thin">
        <color rgb="FF3F3F3F"/>
      </left>
      <right style="thin">
        <color rgb="FF3F3F3F"/>
      </right>
      <top style="thin">
        <color rgb="FF3F3F3F"/>
      </top>
      <bottom style="thin">
        <color rgb="FF3F3F3F"/>
      </bottom>
      <diagonal/>
    </border>
    <border>
      <left style="thin">
        <color auto="1"/>
      </left>
      <right style="thin">
        <color auto="1"/>
      </right>
      <top style="thin">
        <color auto="1"/>
      </top>
      <bottom style="thin">
        <color auto="1"/>
      </bottom>
      <diagonal/>
    </border>
    <border>
      <left/>
      <right/>
      <top style="thin">
        <color theme="6"/>
      </top>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10" fillId="0" borderId="0" applyFont="0" applyFill="0" applyBorder="0" applyAlignment="0" applyProtection="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178" fontId="10" fillId="0" borderId="0" applyFont="0" applyFill="0" applyBorder="0" applyAlignment="0" applyProtection="0">
      <alignment vertical="center"/>
    </xf>
    <xf numFmtId="179"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4" borderId="8"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8" fillId="0" borderId="0" applyNumberFormat="0" applyFill="0" applyBorder="0" applyAlignment="0" applyProtection="0">
      <alignment vertical="center"/>
    </xf>
    <xf numFmtId="0" fontId="19" fillId="5" borderId="11" applyNumberFormat="0" applyAlignment="0" applyProtection="0">
      <alignment vertical="center"/>
    </xf>
    <xf numFmtId="0" fontId="4" fillId="3" borderId="3" applyNumberFormat="0" applyAlignment="0" applyProtection="0">
      <alignment vertical="center"/>
    </xf>
    <xf numFmtId="0" fontId="20" fillId="6" borderId="11" applyNumberFormat="0" applyAlignment="0" applyProtection="0">
      <alignment vertical="center"/>
    </xf>
    <xf numFmtId="0" fontId="21" fillId="7" borderId="12" applyNumberFormat="0" applyAlignment="0" applyProtection="0">
      <alignment vertical="center"/>
    </xf>
    <xf numFmtId="0" fontId="22" fillId="0" borderId="13" applyNumberFormat="0" applyFill="0" applyAlignment="0" applyProtection="0">
      <alignment vertical="center"/>
    </xf>
    <xf numFmtId="0" fontId="23" fillId="0" borderId="14"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xf numFmtId="0" fontId="0" fillId="0" borderId="0"/>
  </cellStyleXfs>
  <cellXfs count="56">
    <xf numFmtId="0" fontId="0" fillId="0" borderId="0" xfId="0"/>
    <xf numFmtId="0" fontId="1" fillId="2" borderId="0" xfId="49"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49" applyNumberFormat="1"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4" fillId="3" borderId="2" xfId="17" applyBorder="1" applyAlignment="1">
      <alignment horizontal="center" vertical="center"/>
    </xf>
    <xf numFmtId="49" fontId="2" fillId="0" borderId="1" xfId="0" applyNumberFormat="1" applyFont="1" applyFill="1" applyBorder="1" applyAlignment="1">
      <alignment horizontal="center" vertical="center" wrapText="1"/>
    </xf>
    <xf numFmtId="0" fontId="4" fillId="3" borderId="3" xfId="17" applyAlignment="1"/>
    <xf numFmtId="0" fontId="0" fillId="0" borderId="4" xfId="0" applyBorder="1"/>
    <xf numFmtId="10" fontId="0" fillId="0" borderId="4" xfId="0" applyNumberFormat="1" applyBorder="1"/>
    <xf numFmtId="0" fontId="5" fillId="0" borderId="1" xfId="0"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7" fillId="0" borderId="0" xfId="0" applyFont="1" applyFill="1" applyAlignment="1">
      <alignment horizontal="center" vertical="center"/>
    </xf>
    <xf numFmtId="0" fontId="7" fillId="0" borderId="1" xfId="0" applyFont="1" applyFill="1" applyBorder="1" applyAlignment="1">
      <alignment horizontal="center" vertical="center" wrapText="1"/>
    </xf>
    <xf numFmtId="49" fontId="7" fillId="0" borderId="0" xfId="0" applyNumberFormat="1" applyFont="1" applyFill="1" applyAlignment="1">
      <alignment horizontal="center" vertical="center"/>
    </xf>
    <xf numFmtId="49" fontId="2" fillId="0" borderId="1" xfId="0" applyNumberFormat="1" applyFont="1" applyFill="1" applyBorder="1" applyAlignment="1">
      <alignment horizontal="center" vertical="center"/>
    </xf>
    <xf numFmtId="0" fontId="2" fillId="0" borderId="5" xfId="0" applyFont="1" applyFill="1" applyBorder="1" applyAlignment="1">
      <alignment horizontal="center" vertical="center" wrapText="1"/>
    </xf>
    <xf numFmtId="49" fontId="3" fillId="0" borderId="5" xfId="0" applyNumberFormat="1" applyFont="1" applyFill="1" applyBorder="1" applyAlignment="1">
      <alignment horizontal="center" vertical="center" wrapText="1"/>
    </xf>
    <xf numFmtId="0" fontId="2" fillId="0" borderId="5" xfId="0" applyNumberFormat="1" applyFont="1" applyFill="1" applyBorder="1" applyAlignment="1">
      <alignment horizontal="center" vertical="center" wrapText="1"/>
    </xf>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0" fontId="2" fillId="0" borderId="0" xfId="0" applyFont="1" applyAlignment="1">
      <alignment horizontal="center" vertical="center" wrapText="1"/>
    </xf>
    <xf numFmtId="0" fontId="8" fillId="3" borderId="2" xfId="17" applyFont="1" applyBorder="1" applyAlignment="1">
      <alignment horizontal="center" vertical="center"/>
    </xf>
    <xf numFmtId="0" fontId="2" fillId="0" borderId="4" xfId="49" applyNumberFormat="1" applyFont="1" applyBorder="1" applyAlignment="1">
      <alignment horizontal="center" vertical="center"/>
    </xf>
    <xf numFmtId="0" fontId="2" fillId="0" borderId="4" xfId="0" applyFont="1" applyBorder="1"/>
    <xf numFmtId="10" fontId="2" fillId="0" borderId="4" xfId="0" applyNumberFormat="1" applyFont="1" applyBorder="1"/>
    <xf numFmtId="0" fontId="2" fillId="0" borderId="4" xfId="0" applyFont="1" applyBorder="1" applyAlignment="1">
      <alignment horizontal="center" vertical="center"/>
    </xf>
    <xf numFmtId="0" fontId="9" fillId="3" borderId="2" xfId="17" applyFont="1" applyBorder="1" applyAlignment="1">
      <alignment horizontal="left" vertical="center"/>
    </xf>
    <xf numFmtId="0" fontId="2" fillId="0" borderId="4" xfId="49" applyFont="1" applyBorder="1" applyAlignment="1">
      <alignment horizontal="left" vertical="center"/>
    </xf>
    <xf numFmtId="0" fontId="2" fillId="0" borderId="4" xfId="49" applyNumberFormat="1" applyFont="1" applyBorder="1" applyAlignment="1">
      <alignment horizontal="left" vertical="center"/>
    </xf>
    <xf numFmtId="0" fontId="2" fillId="0" borderId="4" xfId="0" applyFont="1" applyBorder="1" applyAlignment="1">
      <alignment horizontal="left"/>
    </xf>
    <xf numFmtId="10" fontId="2" fillId="0" borderId="4" xfId="0" applyNumberFormat="1" applyFont="1" applyBorder="1" applyAlignment="1">
      <alignment horizontal="left"/>
    </xf>
    <xf numFmtId="0" fontId="2" fillId="0" borderId="4" xfId="0" applyFont="1" applyBorder="1" applyAlignment="1">
      <alignment horizontal="left" vertical="center"/>
    </xf>
    <xf numFmtId="10" fontId="2" fillId="0" borderId="4" xfId="49" applyNumberFormat="1" applyFont="1" applyBorder="1" applyAlignment="1">
      <alignment horizontal="left"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2" fontId="2" fillId="0" borderId="0" xfId="0" applyNumberFormat="1" applyFont="1" applyAlignment="1">
      <alignment horizontal="center" vertical="center"/>
    </xf>
    <xf numFmtId="49" fontId="2" fillId="0" borderId="0" xfId="0" applyNumberFormat="1" applyFont="1" applyAlignment="1">
      <alignment horizontal="center" vertical="center" wrapText="1"/>
    </xf>
    <xf numFmtId="0" fontId="2" fillId="0" borderId="0" xfId="0" applyNumberFormat="1" applyFont="1" applyAlignment="1">
      <alignment horizontal="center" vertical="center"/>
    </xf>
    <xf numFmtId="49" fontId="2" fillId="0" borderId="0" xfId="0" applyNumberFormat="1" applyFont="1" applyAlignment="1">
      <alignment horizontal="center" vertical="center"/>
    </xf>
    <xf numFmtId="0" fontId="2" fillId="0" borderId="0" xfId="49" applyFont="1" applyAlignment="1">
      <alignment horizontal="center" vertical="center"/>
    </xf>
    <xf numFmtId="0" fontId="2" fillId="0" borderId="6" xfId="49" applyFont="1" applyFill="1" applyBorder="1" applyAlignment="1">
      <alignment horizontal="center" vertical="center"/>
    </xf>
    <xf numFmtId="0" fontId="2" fillId="0" borderId="5" xfId="49" applyFont="1" applyBorder="1" applyAlignment="1">
      <alignment horizontal="center" vertical="center"/>
    </xf>
    <xf numFmtId="0" fontId="2" fillId="0" borderId="5" xfId="49" applyFont="1" applyBorder="1" applyAlignment="1">
      <alignment horizontal="center" vertical="center" wrapText="1"/>
    </xf>
    <xf numFmtId="0" fontId="2" fillId="0" borderId="0" xfId="49" applyFont="1" applyAlignment="1">
      <alignment horizontal="left" vertical="center"/>
    </xf>
    <xf numFmtId="0" fontId="2" fillId="0" borderId="7" xfId="49" applyFont="1" applyFill="1" applyBorder="1" applyAlignment="1">
      <alignment horizontal="center" vertical="center"/>
    </xf>
    <xf numFmtId="0" fontId="2" fillId="0" borderId="1" xfId="49" applyFont="1" applyBorder="1" applyAlignment="1">
      <alignment horizontal="center" vertical="center"/>
    </xf>
    <xf numFmtId="0" fontId="2" fillId="0" borderId="1" xfId="49" applyFont="1" applyBorder="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center" vertical="center" wrapText="1"/>
    </xf>
    <xf numFmtId="49" fontId="3" fillId="0" borderId="0" xfId="0" applyNumberFormat="1" applyFont="1" applyAlignment="1">
      <alignment horizontal="center" vertical="center" wrapText="1"/>
    </xf>
  </cellXfs>
  <cellStyles count="50">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 name="Обычный 2" xfId="49"/>
  </cellStyles>
  <dxfs count="35">
    <dxf>
      <font>
        <name val="Times New Roman"/>
        <scheme val="none"/>
        <sz val="12"/>
      </font>
      <alignment horizontal="center" vertical="center"/>
    </dxf>
    <dxf>
      <font>
        <name val="Times New Roman"/>
        <scheme val="none"/>
        <sz val="12"/>
      </font>
      <alignment horizontal="center" vertical="center"/>
    </dxf>
    <dxf>
      <font>
        <name val="Times New Roman"/>
        <scheme val="none"/>
        <sz val="12"/>
      </font>
      <alignment horizontal="center" vertical="center"/>
    </dxf>
    <dxf>
      <font>
        <name val="Times New Roman"/>
        <scheme val="none"/>
        <sz val="12"/>
      </font>
      <alignment horizontal="center" vertical="center" wrapText="1"/>
    </dxf>
    <dxf>
      <font>
        <name val="Times New Roman"/>
        <scheme val="none"/>
        <sz val="12"/>
      </font>
      <alignment horizontal="center" vertical="center"/>
    </dxf>
    <dxf>
      <font>
        <name val="Times New Roman"/>
        <scheme val="none"/>
        <sz val="12"/>
      </font>
      <alignment horizontal="center" vertical="center" wrapText="1"/>
    </dxf>
    <dxf>
      <font>
        <name val="Times New Roman"/>
        <scheme val="none"/>
        <b val="0"/>
        <i val="0"/>
        <strike val="0"/>
        <u val="none"/>
        <sz val="12"/>
        <color theme="1"/>
      </font>
      <numFmt numFmtId="49" formatCode="@"/>
      <alignment horizontal="center" vertical="center" wrapText="1"/>
    </dxf>
    <dxf>
      <font>
        <name val="Times New Roman"/>
        <scheme val="none"/>
        <i val="0"/>
        <sz val="12"/>
      </font>
      <alignment horizontal="center" vertical="center"/>
    </dxf>
    <dxf>
      <font>
        <name val="Times New Roman"/>
        <scheme val="none"/>
        <i val="0"/>
        <sz val="12"/>
      </font>
      <alignment horizontal="center" vertical="center"/>
    </dxf>
    <dxf>
      <font>
        <name val="Times New Roman"/>
        <scheme val="none"/>
        <i val="0"/>
        <sz val="12"/>
      </font>
      <alignment horizontal="center" vertical="center"/>
    </dxf>
    <dxf>
      <font>
        <name val="Times New Roman"/>
        <scheme val="none"/>
        <i val="0"/>
        <sz val="12"/>
      </font>
      <alignment horizontal="center" vertical="center"/>
    </dxf>
    <dxf>
      <font>
        <name val="Times New Roman"/>
        <scheme val="none"/>
        <i val="0"/>
        <sz val="12"/>
      </font>
      <alignment horizontal="center" vertical="center"/>
    </dxf>
    <dxf>
      <font>
        <name val="Times New Roman"/>
        <scheme val="none"/>
        <i val="0"/>
        <sz val="12"/>
      </font>
      <alignment horizontal="center" vertical="center"/>
    </dxf>
    <dxf>
      <font>
        <name val="Times New Roman"/>
        <scheme val="none"/>
        <i val="0"/>
        <sz val="12"/>
      </font>
      <alignment horizontal="center" vertical="center"/>
    </dxf>
    <dxf>
      <font>
        <name val="Times New Roman"/>
        <scheme val="none"/>
        <strike val="0"/>
        <u val="none"/>
        <sz val="12"/>
      </font>
      <alignment horizontal="center" vertical="center"/>
    </dxf>
    <dxf>
      <font>
        <name val="Times New Roman"/>
        <scheme val="none"/>
        <strike val="0"/>
        <u val="none"/>
        <sz val="12"/>
      </font>
      <alignment horizontal="center" vertical="center"/>
    </dxf>
    <dxf>
      <font>
        <name val="Times New Roman"/>
        <scheme val="none"/>
        <strike val="0"/>
        <u val="none"/>
        <sz val="12"/>
      </font>
      <alignment horizontal="center" vertical="center"/>
    </dxf>
    <dxf>
      <font>
        <name val="Times New Roman"/>
        <scheme val="none"/>
        <strike val="0"/>
        <u val="none"/>
        <sz val="12"/>
      </font>
      <alignment horizontal="center" vertical="center"/>
    </dxf>
    <dxf>
      <font>
        <name val="Times New Roman"/>
        <scheme val="none"/>
        <strike val="0"/>
        <u val="none"/>
        <sz val="12"/>
      </font>
      <alignment horizontal="center" vertical="center"/>
    </dxf>
    <dxf>
      <font>
        <name val="Times New Roman"/>
        <scheme val="none"/>
        <strike val="0"/>
        <u val="none"/>
        <sz val="12"/>
      </font>
      <alignment horizontal="center" vertical="center"/>
    </dxf>
    <dxf>
      <font>
        <name val="Times New Roman"/>
        <scheme val="none"/>
        <strike val="0"/>
        <u val="none"/>
        <sz val="12"/>
      </font>
      <alignment horizontal="center" vertical="center"/>
    </dxf>
    <dxf>
      <font>
        <name val="Times New Roman"/>
        <scheme val="none"/>
        <b val="0"/>
        <i val="0"/>
        <strike val="0"/>
        <u val="none"/>
        <sz val="12"/>
        <color theme="1"/>
      </font>
      <alignment horizontal="center" vertical="center"/>
      <border>
        <left style="thin">
          <color theme="6"/>
        </left>
        <right/>
        <top style="thin">
          <color theme="6"/>
        </top>
        <bottom/>
      </border>
    </dxf>
    <dxf>
      <font>
        <name val="Times New Roman"/>
        <scheme val="none"/>
        <b val="0"/>
        <i val="0"/>
        <strike val="0"/>
        <u val="none"/>
        <sz val="12"/>
        <color theme="1"/>
      </font>
      <alignment horizontal="center" vertical="center"/>
      <border>
        <left/>
        <right/>
        <top style="thin">
          <color theme="6"/>
        </top>
        <bottom/>
      </border>
    </dxf>
    <dxf>
      <font>
        <name val="Times New Roman"/>
        <scheme val="none"/>
        <strike val="0"/>
        <u val="none"/>
        <sz val="12"/>
        <color theme="1"/>
      </font>
      <alignment horizontal="center" vertical="center"/>
    </dxf>
    <dxf>
      <font>
        <name val="Times New Roman"/>
        <scheme val="none"/>
        <strike val="0"/>
        <u val="none"/>
        <sz val="12"/>
        <color theme="1"/>
      </font>
      <alignment horizontal="center" vertical="center"/>
    </dxf>
    <dxf>
      <font>
        <name val="Times New Roman"/>
        <scheme val="none"/>
        <strike val="0"/>
        <u val="none"/>
        <sz val="12"/>
        <color theme="1"/>
      </font>
      <alignment horizontal="center" vertical="center"/>
    </dxf>
    <dxf>
      <font>
        <name val="Times New Roman"/>
        <scheme val="none"/>
        <b val="0"/>
        <i val="0"/>
        <strike val="0"/>
        <u val="none"/>
        <sz val="12"/>
        <color theme="1"/>
      </font>
      <alignment horizontal="center" vertical="center" wrapText="1"/>
      <border>
        <left/>
        <right/>
        <top style="thin">
          <color theme="6"/>
        </top>
        <bottom/>
      </border>
    </dxf>
    <dxf>
      <font>
        <name val="Times New Roman"/>
        <scheme val="none"/>
        <strike val="0"/>
        <u val="none"/>
        <sz val="12"/>
        <color theme="1"/>
      </font>
      <alignment horizontal="center" vertical="center"/>
    </dxf>
    <dxf>
      <font>
        <name val="Times New Roman"/>
        <scheme val="none"/>
        <b val="0"/>
        <i val="0"/>
        <strike val="0"/>
        <u val="none"/>
        <sz val="12"/>
        <color theme="1"/>
      </font>
      <fill>
        <patternFill patternType="none"/>
      </fill>
      <alignment horizontal="center" vertical="center" wrapText="1"/>
      <border>
        <left/>
        <right/>
        <top style="thin">
          <color theme="6"/>
        </top>
        <bottom style="thin">
          <color theme="6"/>
        </bottom>
      </border>
    </dxf>
    <dxf>
      <font>
        <name val="Times New Roman"/>
        <scheme val="none"/>
        <b val="0"/>
        <i val="0"/>
        <strike val="0"/>
        <u val="none"/>
        <sz val="12"/>
        <color theme="1"/>
      </font>
      <fill>
        <patternFill patternType="none"/>
      </fill>
      <alignment horizontal="center" vertical="center" wrapText="1"/>
      <border>
        <left/>
        <right/>
        <top style="thin">
          <color theme="6"/>
        </top>
        <bottom style="thin">
          <color theme="6"/>
        </bottom>
      </border>
    </dxf>
    <dxf>
      <font>
        <name val="Times New Roman"/>
        <scheme val="none"/>
        <b val="0"/>
        <i val="0"/>
        <strike val="0"/>
        <u val="none"/>
        <sz val="12"/>
        <color theme="1"/>
      </font>
      <numFmt numFmtId="0" formatCode="General"/>
      <fill>
        <patternFill patternType="none"/>
      </fill>
      <alignment horizontal="center" vertical="center" wrapText="1"/>
      <border>
        <left/>
        <right/>
        <top style="thin">
          <color theme="6"/>
        </top>
        <bottom style="thin">
          <color theme="6"/>
        </bottom>
      </border>
    </dxf>
    <dxf>
      <font>
        <name val="Times New Roman"/>
        <scheme val="none"/>
        <b val="0"/>
        <i val="0"/>
        <strike val="0"/>
        <u val="none"/>
        <sz val="12"/>
        <color theme="1"/>
      </font>
      <fill>
        <patternFill patternType="none"/>
      </fill>
      <alignment horizontal="center" vertical="center" wrapText="1"/>
      <border>
        <left/>
        <right/>
        <top style="thin">
          <color theme="6"/>
        </top>
        <bottom style="thin">
          <color theme="6"/>
        </bottom>
      </border>
    </dxf>
    <dxf>
      <font>
        <name val="Times New Roman"/>
        <scheme val="none"/>
        <b val="0"/>
        <i val="0"/>
        <strike val="0"/>
        <u val="none"/>
        <sz val="12"/>
        <color theme="1"/>
      </font>
      <numFmt numFmtId="49" formatCode="@"/>
      <fill>
        <patternFill patternType="none"/>
      </fill>
      <alignment horizontal="center" vertical="center" wrapText="1"/>
      <border>
        <left/>
        <right/>
        <top style="thin">
          <color theme="6"/>
        </top>
        <bottom style="thin">
          <color theme="6"/>
        </bottom>
      </border>
    </dxf>
    <dxf>
      <font>
        <name val="Times New Roman"/>
        <scheme val="none"/>
        <b val="0"/>
        <i val="0"/>
        <strike val="0"/>
        <u val="none"/>
        <sz val="12"/>
        <color theme="1"/>
      </font>
      <numFmt numFmtId="49" formatCode="@"/>
      <fill>
        <patternFill patternType="none"/>
      </fill>
      <alignment horizontal="center" vertical="center" wrapText="1"/>
      <border>
        <left/>
        <right/>
        <top style="thin">
          <color theme="6"/>
        </top>
        <bottom style="thin">
          <color theme="6"/>
        </bottom>
      </border>
    </dxf>
    <dxf>
      <font>
        <name val="Times New Roman"/>
        <scheme val="none"/>
        <b val="0"/>
        <i val="0"/>
        <strike val="0"/>
        <u val="none"/>
        <sz val="12"/>
        <color theme="1"/>
      </font>
      <numFmt numFmtId="0" formatCode="General"/>
      <fill>
        <patternFill patternType="none"/>
      </fill>
      <alignment horizontal="center" vertical="center" wrapText="1"/>
      <border>
        <left/>
        <right/>
        <top style="thin">
          <color theme="6"/>
        </top>
        <bottom style="thin">
          <color theme="6"/>
        </bottom>
      </border>
    </dxf>
  </dxfs>
  <tableStyles count="0" defaultTableStyle="TableStyleMedium2" defaultPivotStyle="PivotStyleLight16"/>
  <colors>
    <mruColors>
      <color rgb="00F6857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Таблица1" displayName="Таблица1" ref="A1:G216" totalsRowShown="0">
  <autoFilter xmlns:etc="http://www.wps.cn/officeDocument/2017/etCustomData" ref="A1:G216" etc:filterBottomFollowUsedRange="0"/>
  <tableColumns count="7">
    <tableColumn id="1" name="ID" dataDxfId="0"/>
    <tableColumn id="2" name="Priekšmets" dataDxfId="1"/>
    <tableColumn id="3" name="Gads" dataDxfId="2"/>
    <tableColumn id="4" name="LV_jautājums" dataDxfId="3"/>
    <tableColumn id="6" name="Attēls" dataDxfId="4">
      <calculatedColumnFormula>A:A</calculatedColumnFormula>
    </tableColumn>
    <tableColumn id="7" name="Atbilžu_varianti" dataDxfId="5"/>
    <tableColumn id="9" name="Pareiza_atbilde" dataDxfId="6"/>
  </tableColumns>
  <tableStyleInfo name="TableStyleLight11" showFirstColumn="0" showLastColumn="0" showRowStripes="1" showColumnStripes="0"/>
</table>
</file>

<file path=xl/tables/table2.xml><?xml version="1.0" encoding="utf-8"?>
<table xmlns="http://schemas.openxmlformats.org/spreadsheetml/2006/main" id="3" name="Таблица2_4" displayName="Таблица2_4" ref="A1:G216" totalsRowShown="0">
  <autoFilter xmlns:etc="http://www.wps.cn/officeDocument/2017/etCustomData" ref="A1:G216" etc:filterBottomFollowUsedRange="0"/>
  <tableColumns count="7">
    <tableColumn id="1" name="ID" dataDxfId="7"/>
    <tableColumn id="2" name="Priekšmets" dataDxfId="8"/>
    <tableColumn id="3" name="Modelis" dataDxfId="9"/>
    <tableColumn id="4" name="Režīms" dataDxfId="10"/>
    <tableColumn id="5" name="Atbilde" dataDxfId="11"/>
    <tableColumn id="6" name="Pareiza_atbilde" dataDxfId="12"/>
    <tableColumn id="7" name="Rezultāts" dataDxfId="13">
      <calculatedColumnFormula>IF(E2=F2,1,0)</calculatedColumnFormula>
    </tableColumn>
  </tableColumns>
  <tableStyleInfo name="TableStyleLight11" showFirstColumn="0" showLastColumn="0" showRowStripes="1" showColumnStripes="0"/>
</table>
</file>

<file path=xl/tables/table3.xml><?xml version="1.0" encoding="utf-8"?>
<table xmlns="http://schemas.openxmlformats.org/spreadsheetml/2006/main" id="4" name="Таблица2_45" displayName="Таблица2_45" ref="A1:G216" totalsRowShown="0">
  <autoFilter xmlns:etc="http://www.wps.cn/officeDocument/2017/etCustomData" ref="A1:G216" etc:filterBottomFollowUsedRange="0"/>
  <tableColumns count="7">
    <tableColumn id="1" name="ID" dataDxfId="14"/>
    <tableColumn id="2" name="Priekšmets" dataDxfId="15"/>
    <tableColumn id="3" name="Modelis" dataDxfId="16"/>
    <tableColumn id="4" name="Režīms" dataDxfId="17"/>
    <tableColumn id="5" name="Atbilde" dataDxfId="18"/>
    <tableColumn id="6" name="Pareiza_atbilde" dataDxfId="19"/>
    <tableColumn id="7" name="Rezultāts" dataDxfId="20">
      <calculatedColumnFormula>IF(E2=F2,1,0)</calculatedColumnFormula>
    </tableColumn>
  </tableColumns>
  <tableStyleInfo name="TableStyleLight11" showFirstColumn="0" showLastColumn="0" showRowStripes="1" showColumnStripes="0"/>
</table>
</file>

<file path=xl/tables/table4.xml><?xml version="1.0" encoding="utf-8"?>
<table xmlns="http://schemas.openxmlformats.org/spreadsheetml/2006/main" id="5" name="Таблица2_456" displayName="Таблица2_456" ref="A1:G216" totalsRowShown="0">
  <autoFilter xmlns:etc="http://www.wps.cn/officeDocument/2017/etCustomData" ref="A1:G216" etc:filterBottomFollowUsedRange="0"/>
  <tableColumns count="7">
    <tableColumn id="1" name="ID"/>
    <tableColumn id="2" name="Priekšmets"/>
    <tableColumn id="3" name="Modelis"/>
    <tableColumn id="4" name="Režīms"/>
    <tableColumn id="5" name="Atbilde"/>
    <tableColumn id="6" name="Pareiza_atbilde"/>
    <tableColumn id="7" name="Rezultāts">
      <calculatedColumnFormula>IF(E2=F2,1,0)</calculatedColumnFormula>
    </tableColumn>
  </tableColumns>
  <tableStyleInfo name="TableStyleLight11" showFirstColumn="0" showLastColumn="0" showRowStripes="1" showColumnStripes="0"/>
</table>
</file>

<file path=xl/tables/table5.xml><?xml version="1.0" encoding="utf-8"?>
<table xmlns="http://schemas.openxmlformats.org/spreadsheetml/2006/main" id="2" name="Таблица2" displayName="Таблица2" ref="A1:G216" totalsRowShown="0">
  <autoFilter xmlns:etc="http://www.wps.cn/officeDocument/2017/etCustomData" ref="A1:G216" etc:filterBottomFollowUsedRange="0"/>
  <tableColumns count="7">
    <tableColumn id="1" name="ID" dataDxfId="21"/>
    <tableColumn id="2" name="Priekšmets" dataDxfId="22"/>
    <tableColumn id="3" name="Modelis" dataDxfId="23"/>
    <tableColumn id="4" name="Režīms" dataDxfId="24"/>
    <tableColumn id="5" name="Atbilde" dataDxfId="25"/>
    <tableColumn id="6" name="Pareiza_atbilde" dataDxfId="26"/>
    <tableColumn id="7" name="Rezultāts" dataDxfId="27">
      <calculatedColumnFormula>IF(E2=F2,1,0)</calculatedColumnFormula>
    </tableColumn>
  </tableColumns>
  <tableStyleInfo name="TableStyleLight11" showFirstColumn="0" showLastColumn="0" showRowStripes="1" showColumnStripes="0"/>
</table>
</file>

<file path=xl/tables/table6.xml><?xml version="1.0" encoding="utf-8"?>
<table xmlns="http://schemas.openxmlformats.org/spreadsheetml/2006/main" id="7" name="Таблица7" displayName="Таблица7" ref="A1:G61" totalsRowShown="0">
  <autoFilter xmlns:etc="http://www.wps.cn/officeDocument/2017/etCustomData" ref="A1:G61" etc:filterBottomFollowUsedRange="0"/>
  <tableColumns count="7">
    <tableColumn id="1" name="ID" dataDxfId="28"/>
    <tableColumn id="2" name="Priekšmets" dataDxfId="29"/>
    <tableColumn id="3" name="Modelis" dataDxfId="30"/>
    <tableColumn id="4" name="Režīms" dataDxfId="31"/>
    <tableColumn id="5" name="Atbilde" dataDxfId="32"/>
    <tableColumn id="6" name="Pareiza_atbilde" dataDxfId="33"/>
    <tableColumn id="7" name="Rezultāts" dataDxfId="34"/>
  </tableColumns>
  <tableStyleInfo name="TableStyleLight11"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16"/>
  <sheetViews>
    <sheetView zoomScale="77" zoomScaleNormal="77" workbookViewId="0">
      <selection activeCell="E1" sqref="A$1:E$1048576"/>
    </sheetView>
  </sheetViews>
  <sheetFormatPr defaultColWidth="9" defaultRowHeight="15.6" outlineLevelCol="6"/>
  <cols>
    <col min="1" max="1" width="17.5555555555556" style="21" customWidth="1"/>
    <col min="2" max="2" width="12.4444444444444" style="21" customWidth="1"/>
    <col min="3" max="3" width="6.55555555555556" style="21" customWidth="1"/>
    <col min="4" max="4" width="49.1111111111111" style="21" customWidth="1"/>
    <col min="5" max="5" width="17.5555555555556" style="21" customWidth="1"/>
    <col min="6" max="6" width="43.6666666666667" style="21" customWidth="1"/>
    <col min="7" max="7" width="21.1111111111111" style="44" customWidth="1"/>
    <col min="8" max="16384" width="9" style="21"/>
  </cols>
  <sheetData>
    <row r="1" spans="1:7">
      <c r="A1" s="21" t="s">
        <v>0</v>
      </c>
      <c r="B1" s="21" t="s">
        <v>1</v>
      </c>
      <c r="C1" s="21" t="s">
        <v>2</v>
      </c>
      <c r="D1" s="21" t="s">
        <v>3</v>
      </c>
      <c r="E1" s="21" t="s">
        <v>4</v>
      </c>
      <c r="F1" s="21" t="s">
        <v>5</v>
      </c>
      <c r="G1" s="44" t="s">
        <v>6</v>
      </c>
    </row>
    <row r="2" ht="62.4" spans="1:7">
      <c r="A2" s="21" t="s">
        <v>7</v>
      </c>
      <c r="B2" s="21" t="s">
        <v>8</v>
      </c>
      <c r="C2" s="21">
        <v>2023</v>
      </c>
      <c r="D2" s="25" t="s">
        <v>9</v>
      </c>
      <c r="E2" s="21" t="s">
        <v>7</v>
      </c>
      <c r="F2" s="25" t="s">
        <v>10</v>
      </c>
      <c r="G2" s="42" t="s">
        <v>11</v>
      </c>
    </row>
    <row r="3" ht="78" spans="1:7">
      <c r="A3" s="21" t="s">
        <v>12</v>
      </c>
      <c r="B3" s="21" t="s">
        <v>8</v>
      </c>
      <c r="C3" s="21">
        <v>2023</v>
      </c>
      <c r="D3" s="25" t="s">
        <v>13</v>
      </c>
      <c r="E3" s="21" t="s">
        <v>12</v>
      </c>
      <c r="F3" s="25" t="s">
        <v>10</v>
      </c>
      <c r="G3" s="42" t="s">
        <v>11</v>
      </c>
    </row>
    <row r="4" ht="62.4" spans="1:7">
      <c r="A4" s="21" t="s">
        <v>14</v>
      </c>
      <c r="B4" s="21" t="s">
        <v>8</v>
      </c>
      <c r="C4" s="21">
        <v>2023</v>
      </c>
      <c r="D4" s="25" t="s">
        <v>15</v>
      </c>
      <c r="E4" s="21" t="s">
        <v>14</v>
      </c>
      <c r="F4" s="25" t="s">
        <v>16</v>
      </c>
      <c r="G4" s="44" t="s">
        <v>17</v>
      </c>
    </row>
    <row r="5" ht="109.2" spans="1:7">
      <c r="A5" s="21" t="s">
        <v>18</v>
      </c>
      <c r="B5" s="21" t="s">
        <v>8</v>
      </c>
      <c r="C5" s="21">
        <v>2023</v>
      </c>
      <c r="D5" s="25" t="s">
        <v>19</v>
      </c>
      <c r="E5" s="21" t="str">
        <f t="shared" ref="E5:E68" si="0">A:A</f>
        <v>Fiz_2023_4</v>
      </c>
      <c r="F5" s="25" t="s">
        <v>20</v>
      </c>
      <c r="G5" s="44" t="s">
        <v>11</v>
      </c>
    </row>
    <row r="6" ht="62.4" spans="1:7">
      <c r="A6" s="21" t="s">
        <v>21</v>
      </c>
      <c r="B6" s="21" t="s">
        <v>8</v>
      </c>
      <c r="C6" s="21">
        <v>2023</v>
      </c>
      <c r="D6" s="25" t="s">
        <v>22</v>
      </c>
      <c r="E6" s="21" t="str">
        <f t="shared" si="0"/>
        <v>Fiz_2023_5</v>
      </c>
      <c r="F6" s="25" t="s">
        <v>10</v>
      </c>
      <c r="G6" s="44" t="s">
        <v>11</v>
      </c>
    </row>
    <row r="7" ht="146.4" customHeight="1" spans="1:7">
      <c r="A7" s="21" t="s">
        <v>23</v>
      </c>
      <c r="B7" s="21" t="s">
        <v>8</v>
      </c>
      <c r="C7" s="21">
        <v>2023</v>
      </c>
      <c r="D7" s="25" t="s">
        <v>24</v>
      </c>
      <c r="E7" s="21" t="str">
        <f t="shared" si="0"/>
        <v>Fiz_2023_6</v>
      </c>
      <c r="F7" s="25" t="s">
        <v>25</v>
      </c>
      <c r="G7" s="44" t="s">
        <v>26</v>
      </c>
    </row>
    <row r="8" ht="62.4" spans="1:7">
      <c r="A8" s="21" t="s">
        <v>27</v>
      </c>
      <c r="B8" s="21" t="s">
        <v>8</v>
      </c>
      <c r="C8" s="21">
        <v>2023</v>
      </c>
      <c r="D8" s="25" t="s">
        <v>28</v>
      </c>
      <c r="E8" s="21" t="str">
        <f t="shared" si="0"/>
        <v>Fiz_2023_7</v>
      </c>
      <c r="F8" s="25" t="s">
        <v>29</v>
      </c>
      <c r="G8" s="42" t="s">
        <v>30</v>
      </c>
    </row>
    <row r="9" ht="62.4" spans="1:7">
      <c r="A9" s="21" t="s">
        <v>31</v>
      </c>
      <c r="B9" s="21" t="s">
        <v>8</v>
      </c>
      <c r="C9" s="21">
        <v>2023</v>
      </c>
      <c r="D9" s="25" t="s">
        <v>32</v>
      </c>
      <c r="E9" s="21" t="str">
        <f t="shared" si="0"/>
        <v>Fiz_2023_8</v>
      </c>
      <c r="F9" s="25" t="s">
        <v>10</v>
      </c>
      <c r="G9" s="42" t="s">
        <v>11</v>
      </c>
    </row>
    <row r="10" ht="78" spans="1:7">
      <c r="A10" s="21" t="s">
        <v>33</v>
      </c>
      <c r="B10" s="21" t="s">
        <v>8</v>
      </c>
      <c r="C10" s="21">
        <v>2023</v>
      </c>
      <c r="D10" s="25" t="s">
        <v>34</v>
      </c>
      <c r="E10" s="21" t="str">
        <f t="shared" si="0"/>
        <v>Fiz_2023_9</v>
      </c>
      <c r="F10" s="25" t="s">
        <v>35</v>
      </c>
      <c r="G10" s="42" t="s">
        <v>30</v>
      </c>
    </row>
    <row r="11" ht="62.4" spans="1:7">
      <c r="A11" s="21" t="s">
        <v>36</v>
      </c>
      <c r="B11" s="21" t="s">
        <v>8</v>
      </c>
      <c r="C11" s="21">
        <v>2023</v>
      </c>
      <c r="D11" s="25" t="s">
        <v>37</v>
      </c>
      <c r="E11" s="21" t="str">
        <f t="shared" si="0"/>
        <v>Fiz_2023_10</v>
      </c>
      <c r="F11" s="25" t="s">
        <v>10</v>
      </c>
      <c r="G11" s="42" t="s">
        <v>17</v>
      </c>
    </row>
    <row r="12" ht="62.4" spans="1:7">
      <c r="A12" s="21" t="s">
        <v>38</v>
      </c>
      <c r="B12" s="21" t="s">
        <v>39</v>
      </c>
      <c r="C12" s="21">
        <v>2023</v>
      </c>
      <c r="D12" s="25" t="s">
        <v>40</v>
      </c>
      <c r="E12" s="21" t="str">
        <f t="shared" si="0"/>
        <v>Kimija_2023_1</v>
      </c>
      <c r="F12" s="25" t="s">
        <v>41</v>
      </c>
      <c r="G12" s="42" t="s">
        <v>26</v>
      </c>
    </row>
    <row r="13" ht="78" spans="1:7">
      <c r="A13" s="21" t="s">
        <v>42</v>
      </c>
      <c r="B13" s="21" t="s">
        <v>39</v>
      </c>
      <c r="C13" s="21">
        <v>2023</v>
      </c>
      <c r="D13" s="25" t="s">
        <v>43</v>
      </c>
      <c r="E13" s="21" t="str">
        <f t="shared" si="0"/>
        <v>Kimija_2023_2</v>
      </c>
      <c r="F13" s="25" t="s">
        <v>10</v>
      </c>
      <c r="G13" s="42" t="s">
        <v>26</v>
      </c>
    </row>
    <row r="14" ht="78" spans="1:7">
      <c r="A14" s="21" t="s">
        <v>44</v>
      </c>
      <c r="B14" s="21" t="s">
        <v>39</v>
      </c>
      <c r="C14" s="21">
        <v>2023</v>
      </c>
      <c r="D14" s="25" t="s">
        <v>45</v>
      </c>
      <c r="E14" s="21" t="str">
        <f t="shared" si="0"/>
        <v>Kimija_2023_3</v>
      </c>
      <c r="F14" s="25" t="s">
        <v>10</v>
      </c>
      <c r="G14" s="42" t="s">
        <v>17</v>
      </c>
    </row>
    <row r="15" ht="62.4" spans="1:7">
      <c r="A15" s="21" t="s">
        <v>46</v>
      </c>
      <c r="B15" s="21" t="s">
        <v>39</v>
      </c>
      <c r="C15" s="21">
        <v>2023</v>
      </c>
      <c r="D15" s="25" t="s">
        <v>47</v>
      </c>
      <c r="E15" s="21" t="str">
        <f t="shared" si="0"/>
        <v>Kimija_2023_4</v>
      </c>
      <c r="F15" s="25" t="s">
        <v>10</v>
      </c>
      <c r="G15" s="42" t="s">
        <v>17</v>
      </c>
    </row>
    <row r="16" ht="62.4" spans="1:7">
      <c r="A16" s="21" t="s">
        <v>48</v>
      </c>
      <c r="B16" s="21" t="s">
        <v>39</v>
      </c>
      <c r="C16" s="21">
        <v>2023</v>
      </c>
      <c r="D16" s="25" t="s">
        <v>49</v>
      </c>
      <c r="E16" s="21" t="str">
        <f t="shared" si="0"/>
        <v>Kimija_2023_5</v>
      </c>
      <c r="F16" s="25" t="s">
        <v>50</v>
      </c>
      <c r="G16" s="42" t="s">
        <v>17</v>
      </c>
    </row>
    <row r="17" ht="62.4" spans="1:7">
      <c r="A17" s="21" t="s">
        <v>51</v>
      </c>
      <c r="B17" s="21" t="s">
        <v>39</v>
      </c>
      <c r="C17" s="21">
        <v>2023</v>
      </c>
      <c r="D17" s="25" t="s">
        <v>52</v>
      </c>
      <c r="E17" s="21" t="str">
        <f t="shared" si="0"/>
        <v>Kimija_2023_6</v>
      </c>
      <c r="F17" s="25" t="s">
        <v>53</v>
      </c>
      <c r="G17" s="42" t="s">
        <v>30</v>
      </c>
    </row>
    <row r="18" ht="62.4" spans="1:7">
      <c r="A18" s="21" t="s">
        <v>54</v>
      </c>
      <c r="B18" s="21" t="s">
        <v>39</v>
      </c>
      <c r="C18" s="21">
        <v>2023</v>
      </c>
      <c r="D18" s="25" t="s">
        <v>55</v>
      </c>
      <c r="E18" s="21" t="str">
        <f t="shared" si="0"/>
        <v>Kimija_2023_7</v>
      </c>
      <c r="F18" s="25" t="s">
        <v>10</v>
      </c>
      <c r="G18" s="42" t="s">
        <v>11</v>
      </c>
    </row>
    <row r="19" ht="62.4" spans="1:7">
      <c r="A19" s="21" t="s">
        <v>56</v>
      </c>
      <c r="B19" s="21" t="s">
        <v>39</v>
      </c>
      <c r="C19" s="21">
        <v>2023</v>
      </c>
      <c r="D19" s="25" t="s">
        <v>57</v>
      </c>
      <c r="E19" s="21" t="str">
        <f t="shared" si="0"/>
        <v>Kimija_2023_8</v>
      </c>
      <c r="F19" s="25" t="s">
        <v>58</v>
      </c>
      <c r="G19" s="42" t="s">
        <v>17</v>
      </c>
    </row>
    <row r="20" ht="62.4" spans="1:7">
      <c r="A20" s="21" t="s">
        <v>59</v>
      </c>
      <c r="B20" s="21" t="s">
        <v>39</v>
      </c>
      <c r="C20" s="21">
        <v>2023</v>
      </c>
      <c r="D20" s="25" t="s">
        <v>60</v>
      </c>
      <c r="E20" s="21" t="str">
        <f t="shared" si="0"/>
        <v>Kimija_2023_9</v>
      </c>
      <c r="F20" s="25" t="s">
        <v>61</v>
      </c>
      <c r="G20" s="42" t="s">
        <v>26</v>
      </c>
    </row>
    <row r="21" ht="62.4" spans="1:7">
      <c r="A21" s="21" t="s">
        <v>62</v>
      </c>
      <c r="B21" s="21" t="s">
        <v>39</v>
      </c>
      <c r="C21" s="21">
        <v>2023</v>
      </c>
      <c r="D21" s="25" t="s">
        <v>63</v>
      </c>
      <c r="E21" s="21" t="str">
        <f t="shared" si="0"/>
        <v>Kimija_2023_10</v>
      </c>
      <c r="F21" s="25" t="s">
        <v>64</v>
      </c>
      <c r="G21" s="42" t="s">
        <v>30</v>
      </c>
    </row>
    <row r="22" ht="62.4" spans="1:7">
      <c r="A22" s="21" t="s">
        <v>65</v>
      </c>
      <c r="B22" s="21" t="s">
        <v>39</v>
      </c>
      <c r="C22" s="21">
        <v>2023</v>
      </c>
      <c r="D22" s="25" t="s">
        <v>66</v>
      </c>
      <c r="E22" s="21" t="str">
        <f t="shared" si="0"/>
        <v>Kimija_2023_11</v>
      </c>
      <c r="F22" s="25" t="s">
        <v>67</v>
      </c>
      <c r="G22" s="42" t="s">
        <v>11</v>
      </c>
    </row>
    <row r="23" ht="62.4" spans="1:7">
      <c r="A23" s="21" t="s">
        <v>68</v>
      </c>
      <c r="B23" s="21" t="s">
        <v>69</v>
      </c>
      <c r="C23" s="21">
        <v>2023</v>
      </c>
      <c r="D23" s="25" t="s">
        <v>70</v>
      </c>
      <c r="E23" s="21" t="str">
        <f t="shared" si="0"/>
        <v>Bio_2023_1</v>
      </c>
      <c r="F23" s="25" t="s">
        <v>71</v>
      </c>
      <c r="G23" s="42" t="s">
        <v>26</v>
      </c>
    </row>
    <row r="24" ht="62.4" spans="1:7">
      <c r="A24" s="21" t="s">
        <v>72</v>
      </c>
      <c r="B24" s="21" t="s">
        <v>69</v>
      </c>
      <c r="C24" s="21">
        <v>2023</v>
      </c>
      <c r="D24" s="25" t="s">
        <v>73</v>
      </c>
      <c r="E24" s="21" t="str">
        <f t="shared" si="0"/>
        <v>Bio_2023_2</v>
      </c>
      <c r="F24" s="25" t="s">
        <v>74</v>
      </c>
      <c r="G24" s="42" t="s">
        <v>11</v>
      </c>
    </row>
    <row r="25" ht="62.4" spans="1:7">
      <c r="A25" s="21" t="s">
        <v>75</v>
      </c>
      <c r="B25" s="21" t="s">
        <v>69</v>
      </c>
      <c r="C25" s="21">
        <v>2023</v>
      </c>
      <c r="D25" s="25" t="s">
        <v>76</v>
      </c>
      <c r="E25" s="21" t="str">
        <f t="shared" si="0"/>
        <v>Bio_2023_3</v>
      </c>
      <c r="F25" s="25" t="s">
        <v>77</v>
      </c>
      <c r="G25" s="42" t="s">
        <v>30</v>
      </c>
    </row>
    <row r="26" ht="93.6" spans="1:7">
      <c r="A26" s="21" t="s">
        <v>78</v>
      </c>
      <c r="B26" s="21" t="s">
        <v>69</v>
      </c>
      <c r="C26" s="21">
        <v>2023</v>
      </c>
      <c r="D26" s="25" t="s">
        <v>79</v>
      </c>
      <c r="E26" s="21" t="str">
        <f t="shared" si="0"/>
        <v>Bio_2023_4</v>
      </c>
      <c r="F26" s="25" t="s">
        <v>80</v>
      </c>
      <c r="G26" s="42" t="s">
        <v>30</v>
      </c>
    </row>
    <row r="27" ht="62.4" spans="1:7">
      <c r="A27" s="21" t="s">
        <v>81</v>
      </c>
      <c r="B27" s="21" t="s">
        <v>69</v>
      </c>
      <c r="C27" s="21">
        <v>2023</v>
      </c>
      <c r="D27" s="25" t="s">
        <v>82</v>
      </c>
      <c r="E27" s="21" t="str">
        <f t="shared" si="0"/>
        <v>Bio_2023_5</v>
      </c>
      <c r="F27" s="25" t="s">
        <v>10</v>
      </c>
      <c r="G27" s="42" t="s">
        <v>83</v>
      </c>
    </row>
    <row r="28" ht="62.4" spans="1:7">
      <c r="A28" s="21" t="s">
        <v>84</v>
      </c>
      <c r="B28" s="21" t="s">
        <v>69</v>
      </c>
      <c r="C28" s="21">
        <v>2023</v>
      </c>
      <c r="D28" s="25" t="s">
        <v>85</v>
      </c>
      <c r="E28" s="21" t="str">
        <f t="shared" si="0"/>
        <v>Bio_2023_6</v>
      </c>
      <c r="F28" s="25" t="s">
        <v>10</v>
      </c>
      <c r="G28" s="42" t="s">
        <v>83</v>
      </c>
    </row>
    <row r="29" ht="62.4" spans="1:7">
      <c r="A29" s="21" t="s">
        <v>86</v>
      </c>
      <c r="B29" s="21" t="s">
        <v>69</v>
      </c>
      <c r="C29" s="21">
        <v>2023</v>
      </c>
      <c r="D29" s="25" t="s">
        <v>87</v>
      </c>
      <c r="E29" s="21" t="str">
        <f t="shared" si="0"/>
        <v>Bio_2023_7</v>
      </c>
      <c r="F29" s="25" t="s">
        <v>88</v>
      </c>
      <c r="G29" s="42" t="s">
        <v>83</v>
      </c>
    </row>
    <row r="30" ht="156" spans="1:7">
      <c r="A30" s="21" t="s">
        <v>89</v>
      </c>
      <c r="B30" s="21" t="s">
        <v>69</v>
      </c>
      <c r="C30" s="21">
        <v>2023</v>
      </c>
      <c r="D30" s="25" t="s">
        <v>90</v>
      </c>
      <c r="E30" s="21" t="str">
        <f t="shared" si="0"/>
        <v>Bio_2023_8</v>
      </c>
      <c r="F30" s="25" t="s">
        <v>91</v>
      </c>
      <c r="G30" s="42" t="s">
        <v>30</v>
      </c>
    </row>
    <row r="31" ht="187.2" spans="1:7">
      <c r="A31" s="21" t="s">
        <v>92</v>
      </c>
      <c r="B31" s="21" t="s">
        <v>69</v>
      </c>
      <c r="C31" s="21">
        <v>2023</v>
      </c>
      <c r="D31" s="25" t="s">
        <v>93</v>
      </c>
      <c r="E31" s="21" t="str">
        <f t="shared" si="0"/>
        <v>Bio_2023_9</v>
      </c>
      <c r="F31" s="25" t="s">
        <v>94</v>
      </c>
      <c r="G31" s="42" t="s">
        <v>17</v>
      </c>
    </row>
    <row r="32" ht="78" spans="1:7">
      <c r="A32" s="21" t="s">
        <v>95</v>
      </c>
      <c r="B32" s="21" t="s">
        <v>69</v>
      </c>
      <c r="C32" s="21">
        <v>2023</v>
      </c>
      <c r="D32" s="25" t="s">
        <v>96</v>
      </c>
      <c r="E32" s="21" t="str">
        <f t="shared" si="0"/>
        <v>Bio_2023_10</v>
      </c>
      <c r="F32" s="25" t="s">
        <v>97</v>
      </c>
      <c r="G32" s="42" t="s">
        <v>30</v>
      </c>
    </row>
    <row r="33" ht="62.4" spans="1:7">
      <c r="A33" s="21" t="s">
        <v>98</v>
      </c>
      <c r="B33" s="21" t="s">
        <v>69</v>
      </c>
      <c r="C33" s="21">
        <v>2023</v>
      </c>
      <c r="D33" s="25" t="s">
        <v>99</v>
      </c>
      <c r="E33" s="21" t="str">
        <f t="shared" si="0"/>
        <v>Bio_2023_11</v>
      </c>
      <c r="F33" s="25" t="s">
        <v>100</v>
      </c>
      <c r="G33" s="42" t="s">
        <v>26</v>
      </c>
    </row>
    <row r="34" ht="62.4" spans="1:7">
      <c r="A34" s="21" t="s">
        <v>101</v>
      </c>
      <c r="B34" s="21" t="s">
        <v>69</v>
      </c>
      <c r="C34" s="21">
        <v>2023</v>
      </c>
      <c r="D34" s="25" t="s">
        <v>102</v>
      </c>
      <c r="E34" s="21" t="str">
        <f t="shared" si="0"/>
        <v>Bio_2023_12</v>
      </c>
      <c r="F34" s="25" t="s">
        <v>10</v>
      </c>
      <c r="G34" s="42" t="s">
        <v>26</v>
      </c>
    </row>
    <row r="35" ht="78" spans="1:7">
      <c r="A35" s="21" t="s">
        <v>103</v>
      </c>
      <c r="B35" s="21" t="s">
        <v>69</v>
      </c>
      <c r="C35" s="21">
        <v>2023</v>
      </c>
      <c r="D35" s="25" t="s">
        <v>104</v>
      </c>
      <c r="E35" s="21" t="str">
        <f t="shared" si="0"/>
        <v>Bio_2023_13</v>
      </c>
      <c r="F35" s="25" t="s">
        <v>105</v>
      </c>
      <c r="G35" s="42" t="s">
        <v>17</v>
      </c>
    </row>
    <row r="36" ht="62.4" spans="1:7">
      <c r="A36" s="21" t="s">
        <v>106</v>
      </c>
      <c r="B36" s="21" t="s">
        <v>69</v>
      </c>
      <c r="C36" s="21">
        <v>2023</v>
      </c>
      <c r="D36" s="25" t="s">
        <v>107</v>
      </c>
      <c r="E36" s="21" t="str">
        <f t="shared" si="0"/>
        <v>Bio_2023_14</v>
      </c>
      <c r="F36" s="25" t="s">
        <v>108</v>
      </c>
      <c r="G36" s="42" t="s">
        <v>26</v>
      </c>
    </row>
    <row r="37" ht="93.6" spans="1:7">
      <c r="A37" s="21" t="s">
        <v>109</v>
      </c>
      <c r="B37" s="21" t="s">
        <v>69</v>
      </c>
      <c r="C37" s="21">
        <v>2023</v>
      </c>
      <c r="D37" s="25" t="s">
        <v>110</v>
      </c>
      <c r="E37" s="21" t="str">
        <f t="shared" si="0"/>
        <v>Bio_2023_15</v>
      </c>
      <c r="F37" s="25" t="s">
        <v>111</v>
      </c>
      <c r="G37" s="42" t="s">
        <v>26</v>
      </c>
    </row>
    <row r="38" ht="62.4" spans="1:7">
      <c r="A38" s="21" t="s">
        <v>112</v>
      </c>
      <c r="B38" s="21" t="s">
        <v>113</v>
      </c>
      <c r="C38" s="21">
        <v>2023</v>
      </c>
      <c r="D38" s="25" t="s">
        <v>114</v>
      </c>
      <c r="E38" s="21" t="str">
        <f t="shared" si="0"/>
        <v>Geo_2023_1</v>
      </c>
      <c r="F38" s="25" t="s">
        <v>115</v>
      </c>
      <c r="G38" s="42" t="s">
        <v>17</v>
      </c>
    </row>
    <row r="39" ht="124.8" spans="1:7">
      <c r="A39" s="21" t="s">
        <v>116</v>
      </c>
      <c r="B39" s="21" t="s">
        <v>113</v>
      </c>
      <c r="C39" s="21">
        <v>2023</v>
      </c>
      <c r="D39" s="25" t="s">
        <v>117</v>
      </c>
      <c r="E39" s="21" t="str">
        <f t="shared" si="0"/>
        <v>Geo_2023_2</v>
      </c>
      <c r="F39" s="25" t="s">
        <v>118</v>
      </c>
      <c r="G39" s="42" t="s">
        <v>26</v>
      </c>
    </row>
    <row r="40" ht="140.4" spans="1:7">
      <c r="A40" s="21" t="s">
        <v>119</v>
      </c>
      <c r="B40" s="21" t="s">
        <v>113</v>
      </c>
      <c r="C40" s="21">
        <v>2023</v>
      </c>
      <c r="D40" s="25" t="s">
        <v>120</v>
      </c>
      <c r="E40" s="21" t="str">
        <f t="shared" si="0"/>
        <v>Geo_2023_3</v>
      </c>
      <c r="F40" s="25" t="s">
        <v>121</v>
      </c>
      <c r="G40" s="42" t="s">
        <v>30</v>
      </c>
    </row>
    <row r="41" ht="93.6" spans="1:7">
      <c r="A41" s="21" t="s">
        <v>122</v>
      </c>
      <c r="B41" s="21" t="s">
        <v>113</v>
      </c>
      <c r="C41" s="21">
        <v>2023</v>
      </c>
      <c r="D41" s="25" t="s">
        <v>123</v>
      </c>
      <c r="E41" s="21" t="str">
        <f t="shared" si="0"/>
        <v>Geo_2023_4</v>
      </c>
      <c r="F41" s="25" t="s">
        <v>124</v>
      </c>
      <c r="G41" s="42" t="s">
        <v>30</v>
      </c>
    </row>
    <row r="42" ht="62.4" spans="1:7">
      <c r="A42" s="21" t="s">
        <v>125</v>
      </c>
      <c r="B42" s="21" t="s">
        <v>113</v>
      </c>
      <c r="C42" s="21">
        <v>2023</v>
      </c>
      <c r="D42" s="25" t="s">
        <v>126</v>
      </c>
      <c r="E42" s="21" t="str">
        <f t="shared" si="0"/>
        <v>Geo_2023_5</v>
      </c>
      <c r="F42" s="25" t="s">
        <v>127</v>
      </c>
      <c r="G42" s="42" t="s">
        <v>26</v>
      </c>
    </row>
    <row r="43" ht="62.4" spans="1:7">
      <c r="A43" s="21" t="s">
        <v>128</v>
      </c>
      <c r="B43" s="21" t="s">
        <v>113</v>
      </c>
      <c r="C43" s="21">
        <v>2023</v>
      </c>
      <c r="D43" s="25" t="s">
        <v>129</v>
      </c>
      <c r="E43" s="21" t="str">
        <f t="shared" si="0"/>
        <v>Geo_2023_6</v>
      </c>
      <c r="F43" s="25" t="s">
        <v>130</v>
      </c>
      <c r="G43" s="42" t="s">
        <v>26</v>
      </c>
    </row>
    <row r="44" ht="187.2" spans="1:7">
      <c r="A44" s="21" t="s">
        <v>131</v>
      </c>
      <c r="B44" s="21" t="s">
        <v>113</v>
      </c>
      <c r="C44" s="21">
        <v>2023</v>
      </c>
      <c r="D44" s="25" t="s">
        <v>132</v>
      </c>
      <c r="E44" s="21" t="str">
        <f t="shared" si="0"/>
        <v>Geo_2023_7</v>
      </c>
      <c r="F44" s="25" t="s">
        <v>133</v>
      </c>
      <c r="G44" s="42" t="s">
        <v>30</v>
      </c>
    </row>
    <row r="45" ht="62.4" spans="1:7">
      <c r="A45" s="21" t="s">
        <v>134</v>
      </c>
      <c r="B45" s="21" t="s">
        <v>135</v>
      </c>
      <c r="C45" s="21">
        <v>2023</v>
      </c>
      <c r="D45" s="25" t="s">
        <v>136</v>
      </c>
      <c r="E45" s="21" t="str">
        <f t="shared" si="0"/>
        <v>Mat_2023_1</v>
      </c>
      <c r="F45" s="25" t="s">
        <v>137</v>
      </c>
      <c r="G45" s="42" t="s">
        <v>17</v>
      </c>
    </row>
    <row r="46" ht="62.4" spans="1:7">
      <c r="A46" s="21" t="s">
        <v>138</v>
      </c>
      <c r="B46" s="21" t="s">
        <v>135</v>
      </c>
      <c r="C46" s="21">
        <v>2023</v>
      </c>
      <c r="D46" s="25" t="s">
        <v>139</v>
      </c>
      <c r="E46" s="21" t="str">
        <f t="shared" si="0"/>
        <v>Mat_2023_2</v>
      </c>
      <c r="F46" s="25" t="s">
        <v>140</v>
      </c>
      <c r="G46" s="42" t="s">
        <v>30</v>
      </c>
    </row>
    <row r="47" ht="62.4" spans="1:7">
      <c r="A47" s="21" t="s">
        <v>141</v>
      </c>
      <c r="B47" s="21" t="s">
        <v>135</v>
      </c>
      <c r="C47" s="21">
        <v>2023</v>
      </c>
      <c r="D47" s="25" t="s">
        <v>142</v>
      </c>
      <c r="E47" s="21" t="str">
        <f t="shared" si="0"/>
        <v>Mat_2023_3</v>
      </c>
      <c r="F47" s="25" t="s">
        <v>143</v>
      </c>
      <c r="G47" s="42" t="s">
        <v>26</v>
      </c>
    </row>
    <row r="48" ht="62.4" spans="1:7">
      <c r="A48" s="21" t="s">
        <v>144</v>
      </c>
      <c r="B48" s="21" t="s">
        <v>135</v>
      </c>
      <c r="C48" s="21">
        <v>2023</v>
      </c>
      <c r="D48" s="25" t="s">
        <v>145</v>
      </c>
      <c r="E48" s="21" t="str">
        <f t="shared" si="0"/>
        <v>Mat_2023_4</v>
      </c>
      <c r="F48" s="25" t="s">
        <v>146</v>
      </c>
      <c r="G48" s="42" t="s">
        <v>17</v>
      </c>
    </row>
    <row r="49" ht="62.4" spans="1:7">
      <c r="A49" s="21" t="s">
        <v>147</v>
      </c>
      <c r="B49" s="21" t="s">
        <v>135</v>
      </c>
      <c r="C49" s="21">
        <v>2023</v>
      </c>
      <c r="D49" s="25" t="s">
        <v>148</v>
      </c>
      <c r="E49" s="21" t="str">
        <f t="shared" si="0"/>
        <v>Mat_2023_5</v>
      </c>
      <c r="F49" s="25" t="s">
        <v>149</v>
      </c>
      <c r="G49" s="42" t="s">
        <v>30</v>
      </c>
    </row>
    <row r="50" ht="62.4" spans="1:7">
      <c r="A50" s="21" t="s">
        <v>150</v>
      </c>
      <c r="B50" s="21" t="s">
        <v>135</v>
      </c>
      <c r="C50" s="21">
        <v>2023</v>
      </c>
      <c r="D50" s="25" t="s">
        <v>151</v>
      </c>
      <c r="E50" s="21" t="str">
        <f t="shared" si="0"/>
        <v>Mat_2023_6</v>
      </c>
      <c r="F50" s="25" t="s">
        <v>152</v>
      </c>
      <c r="G50" s="42" t="s">
        <v>11</v>
      </c>
    </row>
    <row r="51" ht="62.4" spans="1:7">
      <c r="A51" s="21" t="s">
        <v>153</v>
      </c>
      <c r="B51" s="21" t="s">
        <v>135</v>
      </c>
      <c r="C51" s="21">
        <v>2023</v>
      </c>
      <c r="D51" s="25" t="s">
        <v>154</v>
      </c>
      <c r="E51" s="21" t="str">
        <f t="shared" si="0"/>
        <v>Mat_2023_7</v>
      </c>
      <c r="F51" s="25" t="s">
        <v>155</v>
      </c>
      <c r="G51" s="42" t="s">
        <v>11</v>
      </c>
    </row>
    <row r="52" ht="62.4" spans="1:7">
      <c r="A52" s="21" t="s">
        <v>156</v>
      </c>
      <c r="B52" s="21" t="s">
        <v>135</v>
      </c>
      <c r="C52" s="21">
        <v>2023</v>
      </c>
      <c r="D52" s="25" t="s">
        <v>157</v>
      </c>
      <c r="E52" s="21" t="str">
        <f t="shared" si="0"/>
        <v>Mat_2023_8</v>
      </c>
      <c r="F52" s="25" t="s">
        <v>158</v>
      </c>
      <c r="G52" s="42" t="s">
        <v>17</v>
      </c>
    </row>
    <row r="53" ht="62.4" spans="1:7">
      <c r="A53" s="21" t="s">
        <v>159</v>
      </c>
      <c r="B53" s="21" t="s">
        <v>135</v>
      </c>
      <c r="C53" s="21">
        <v>2023</v>
      </c>
      <c r="D53" s="25" t="s">
        <v>160</v>
      </c>
      <c r="E53" s="21" t="str">
        <f t="shared" si="0"/>
        <v>Mat_2023_9</v>
      </c>
      <c r="F53" s="25" t="s">
        <v>146</v>
      </c>
      <c r="G53" s="42" t="s">
        <v>11</v>
      </c>
    </row>
    <row r="54" ht="62.4" spans="1:7">
      <c r="A54" s="21" t="s">
        <v>161</v>
      </c>
      <c r="B54" s="21" t="s">
        <v>135</v>
      </c>
      <c r="C54" s="21">
        <v>2023</v>
      </c>
      <c r="D54" s="25" t="s">
        <v>162</v>
      </c>
      <c r="E54" s="21" t="str">
        <f t="shared" si="0"/>
        <v>Mat_2023_10</v>
      </c>
      <c r="F54" s="25" t="s">
        <v>163</v>
      </c>
      <c r="G54" s="42" t="s">
        <v>26</v>
      </c>
    </row>
    <row r="55" ht="62.4" spans="1:7">
      <c r="A55" s="21" t="s">
        <v>164</v>
      </c>
      <c r="B55" s="21" t="s">
        <v>135</v>
      </c>
      <c r="C55" s="21">
        <v>2024</v>
      </c>
      <c r="D55" s="25" t="s">
        <v>165</v>
      </c>
      <c r="E55" s="21" t="str">
        <f t="shared" si="0"/>
        <v>Mat_2024_1</v>
      </c>
      <c r="F55" s="25" t="s">
        <v>166</v>
      </c>
      <c r="G55" s="42" t="s">
        <v>17</v>
      </c>
    </row>
    <row r="56" ht="62.4" spans="1:7">
      <c r="A56" s="21" t="s">
        <v>167</v>
      </c>
      <c r="B56" s="21" t="s">
        <v>135</v>
      </c>
      <c r="C56" s="21">
        <v>2024</v>
      </c>
      <c r="D56" s="25" t="s">
        <v>168</v>
      </c>
      <c r="E56" s="21" t="str">
        <f t="shared" si="0"/>
        <v>Mat_2024_2</v>
      </c>
      <c r="F56" s="25" t="s">
        <v>169</v>
      </c>
      <c r="G56" s="42" t="s">
        <v>30</v>
      </c>
    </row>
    <row r="57" ht="140.4" spans="1:7">
      <c r="A57" s="21" t="s">
        <v>170</v>
      </c>
      <c r="B57" s="21" t="s">
        <v>135</v>
      </c>
      <c r="C57" s="21">
        <v>2024</v>
      </c>
      <c r="D57" s="25" t="s">
        <v>171</v>
      </c>
      <c r="E57" s="21" t="str">
        <f t="shared" si="0"/>
        <v>Mat_2024_3</v>
      </c>
      <c r="F57" s="25" t="s">
        <v>172</v>
      </c>
      <c r="G57" s="42" t="s">
        <v>11</v>
      </c>
    </row>
    <row r="58" ht="78" spans="1:7">
      <c r="A58" s="21" t="s">
        <v>173</v>
      </c>
      <c r="B58" s="21" t="s">
        <v>39</v>
      </c>
      <c r="C58" s="21">
        <v>2024</v>
      </c>
      <c r="D58" s="25" t="s">
        <v>174</v>
      </c>
      <c r="E58" s="21" t="str">
        <f t="shared" si="0"/>
        <v>Kimija_2024_1</v>
      </c>
      <c r="F58" s="25" t="s">
        <v>175</v>
      </c>
      <c r="G58" s="42" t="s">
        <v>30</v>
      </c>
    </row>
    <row r="59" ht="62.4" spans="1:7">
      <c r="A59" s="21" t="s">
        <v>176</v>
      </c>
      <c r="B59" s="21" t="s">
        <v>39</v>
      </c>
      <c r="C59" s="21">
        <v>2024</v>
      </c>
      <c r="D59" s="25" t="s">
        <v>177</v>
      </c>
      <c r="E59" s="21" t="str">
        <f t="shared" si="0"/>
        <v>Kimija_2024_2</v>
      </c>
      <c r="F59" s="25" t="s">
        <v>178</v>
      </c>
      <c r="G59" s="42" t="s">
        <v>30</v>
      </c>
    </row>
    <row r="60" ht="62.4" spans="1:7">
      <c r="A60" s="21" t="s">
        <v>179</v>
      </c>
      <c r="B60" s="21" t="s">
        <v>39</v>
      </c>
      <c r="C60" s="21">
        <v>2024</v>
      </c>
      <c r="D60" s="25" t="s">
        <v>180</v>
      </c>
      <c r="E60" s="21" t="str">
        <f t="shared" si="0"/>
        <v>Kimija_2024_3</v>
      </c>
      <c r="F60" s="25" t="s">
        <v>146</v>
      </c>
      <c r="G60" s="42" t="s">
        <v>26</v>
      </c>
    </row>
    <row r="61" ht="62.4" spans="1:7">
      <c r="A61" s="21" t="s">
        <v>181</v>
      </c>
      <c r="B61" s="21" t="s">
        <v>39</v>
      </c>
      <c r="C61" s="21">
        <v>2024</v>
      </c>
      <c r="D61" s="25" t="s">
        <v>182</v>
      </c>
      <c r="E61" s="21" t="str">
        <f t="shared" si="0"/>
        <v>Kimija_2024_4</v>
      </c>
      <c r="F61" s="25" t="s">
        <v>146</v>
      </c>
      <c r="G61" s="42" t="s">
        <v>26</v>
      </c>
    </row>
    <row r="62" ht="78" spans="1:7">
      <c r="A62" s="21" t="s">
        <v>183</v>
      </c>
      <c r="B62" s="21" t="s">
        <v>39</v>
      </c>
      <c r="C62" s="21">
        <v>2024</v>
      </c>
      <c r="D62" s="25" t="s">
        <v>184</v>
      </c>
      <c r="E62" s="21" t="str">
        <f t="shared" si="0"/>
        <v>Kimija_2024_5</v>
      </c>
      <c r="F62" s="25" t="s">
        <v>146</v>
      </c>
      <c r="G62" s="42" t="s">
        <v>30</v>
      </c>
    </row>
    <row r="63" ht="109.2" spans="1:7">
      <c r="A63" s="21" t="s">
        <v>185</v>
      </c>
      <c r="B63" s="21" t="s">
        <v>39</v>
      </c>
      <c r="C63" s="21">
        <v>2024</v>
      </c>
      <c r="D63" s="25" t="s">
        <v>186</v>
      </c>
      <c r="E63" s="21" t="str">
        <f t="shared" si="0"/>
        <v>Kimija_2024_6</v>
      </c>
      <c r="F63" s="25" t="s">
        <v>187</v>
      </c>
      <c r="G63" s="42" t="s">
        <v>11</v>
      </c>
    </row>
    <row r="64" ht="156" spans="1:7">
      <c r="A64" s="21" t="s">
        <v>188</v>
      </c>
      <c r="B64" s="21" t="s">
        <v>39</v>
      </c>
      <c r="C64" s="21">
        <v>2024</v>
      </c>
      <c r="D64" s="25" t="s">
        <v>189</v>
      </c>
      <c r="E64" s="21" t="str">
        <f t="shared" si="0"/>
        <v>Kimija_2024_7</v>
      </c>
      <c r="F64" s="25" t="s">
        <v>190</v>
      </c>
      <c r="G64" s="42" t="s">
        <v>11</v>
      </c>
    </row>
    <row r="65" ht="62.4" spans="1:7">
      <c r="A65" s="21" t="s">
        <v>191</v>
      </c>
      <c r="B65" s="21" t="s">
        <v>39</v>
      </c>
      <c r="C65" s="21">
        <v>2024</v>
      </c>
      <c r="D65" s="25" t="s">
        <v>192</v>
      </c>
      <c r="E65" s="21" t="str">
        <f t="shared" si="0"/>
        <v>Kimija_2024_8</v>
      </c>
      <c r="F65" s="25" t="s">
        <v>193</v>
      </c>
      <c r="G65" s="42" t="s">
        <v>30</v>
      </c>
    </row>
    <row r="66" ht="78" spans="1:7">
      <c r="A66" s="21" t="s">
        <v>194</v>
      </c>
      <c r="B66" s="21" t="s">
        <v>39</v>
      </c>
      <c r="C66" s="21">
        <v>2024</v>
      </c>
      <c r="D66" s="25" t="s">
        <v>195</v>
      </c>
      <c r="E66" s="21" t="str">
        <f t="shared" si="0"/>
        <v>Kimija_2024_9</v>
      </c>
      <c r="F66" s="25" t="s">
        <v>146</v>
      </c>
      <c r="G66" s="42" t="s">
        <v>30</v>
      </c>
    </row>
    <row r="67" ht="78" spans="1:7">
      <c r="A67" s="21" t="s">
        <v>196</v>
      </c>
      <c r="B67" s="21" t="s">
        <v>69</v>
      </c>
      <c r="C67" s="21">
        <v>2024</v>
      </c>
      <c r="D67" s="25" t="s">
        <v>197</v>
      </c>
      <c r="E67" s="21" t="str">
        <f t="shared" si="0"/>
        <v>Bio_2024_1</v>
      </c>
      <c r="F67" s="25" t="s">
        <v>198</v>
      </c>
      <c r="G67" s="42" t="s">
        <v>30</v>
      </c>
    </row>
    <row r="68" ht="93.6" spans="1:7">
      <c r="A68" s="21" t="s">
        <v>199</v>
      </c>
      <c r="B68" s="21" t="s">
        <v>69</v>
      </c>
      <c r="C68" s="21">
        <v>2024</v>
      </c>
      <c r="D68" s="25" t="s">
        <v>200</v>
      </c>
      <c r="E68" s="21" t="str">
        <f t="shared" si="0"/>
        <v>Bio_2024_2</v>
      </c>
      <c r="F68" s="25" t="s">
        <v>201</v>
      </c>
      <c r="G68" s="42" t="s">
        <v>17</v>
      </c>
    </row>
    <row r="69" ht="62.4" spans="1:7">
      <c r="A69" s="21" t="s">
        <v>202</v>
      </c>
      <c r="B69" s="21" t="s">
        <v>69</v>
      </c>
      <c r="C69" s="21">
        <v>2024</v>
      </c>
      <c r="D69" s="25" t="s">
        <v>203</v>
      </c>
      <c r="E69" s="21" t="str">
        <f t="shared" ref="E69:E132" si="1">A:A</f>
        <v>Bio_2024_3</v>
      </c>
      <c r="F69" s="25" t="s">
        <v>204</v>
      </c>
      <c r="G69" s="42" t="s">
        <v>30</v>
      </c>
    </row>
    <row r="70" ht="62.4" spans="1:7">
      <c r="A70" s="21" t="s">
        <v>205</v>
      </c>
      <c r="B70" s="21" t="s">
        <v>69</v>
      </c>
      <c r="C70" s="21">
        <v>2024</v>
      </c>
      <c r="D70" s="25" t="s">
        <v>206</v>
      </c>
      <c r="E70" s="21" t="str">
        <f t="shared" si="1"/>
        <v>Bio_2024_4</v>
      </c>
      <c r="F70" s="25" t="s">
        <v>146</v>
      </c>
      <c r="G70" s="42" t="s">
        <v>26</v>
      </c>
    </row>
    <row r="71" ht="124.8" spans="1:7">
      <c r="A71" s="21" t="s">
        <v>207</v>
      </c>
      <c r="B71" s="21" t="s">
        <v>69</v>
      </c>
      <c r="C71" s="21">
        <v>2024</v>
      </c>
      <c r="D71" s="25" t="s">
        <v>208</v>
      </c>
      <c r="E71" s="21" t="str">
        <f t="shared" si="1"/>
        <v>Bio_2024_5</v>
      </c>
      <c r="F71" s="25" t="s">
        <v>209</v>
      </c>
      <c r="G71" s="42" t="s">
        <v>17</v>
      </c>
    </row>
    <row r="72" ht="93.6" spans="1:7">
      <c r="A72" s="21" t="s">
        <v>210</v>
      </c>
      <c r="B72" s="21" t="s">
        <v>69</v>
      </c>
      <c r="C72" s="21">
        <v>2024</v>
      </c>
      <c r="D72" s="25" t="s">
        <v>211</v>
      </c>
      <c r="E72" s="21" t="str">
        <f t="shared" si="1"/>
        <v>Bio_2024_6</v>
      </c>
      <c r="F72" s="25" t="s">
        <v>212</v>
      </c>
      <c r="G72" s="42" t="s">
        <v>11</v>
      </c>
    </row>
    <row r="73" ht="62.4" spans="1:7">
      <c r="A73" s="21" t="s">
        <v>213</v>
      </c>
      <c r="B73" s="21" t="s">
        <v>69</v>
      </c>
      <c r="C73" s="21">
        <v>2024</v>
      </c>
      <c r="D73" s="25" t="s">
        <v>214</v>
      </c>
      <c r="E73" s="21" t="str">
        <f t="shared" si="1"/>
        <v>Bio_2024_7</v>
      </c>
      <c r="F73" s="25" t="s">
        <v>215</v>
      </c>
      <c r="G73" s="42" t="s">
        <v>30</v>
      </c>
    </row>
    <row r="74" ht="62.4" spans="1:7">
      <c r="A74" s="21" t="s">
        <v>216</v>
      </c>
      <c r="B74" s="21" t="s">
        <v>69</v>
      </c>
      <c r="C74" s="21">
        <v>2024</v>
      </c>
      <c r="D74" s="25" t="s">
        <v>217</v>
      </c>
      <c r="E74" s="21" t="str">
        <f t="shared" si="1"/>
        <v>Bio_2024_8</v>
      </c>
      <c r="F74" s="25" t="s">
        <v>218</v>
      </c>
      <c r="G74" s="42" t="s">
        <v>11</v>
      </c>
    </row>
    <row r="75" ht="78" spans="1:7">
      <c r="A75" s="21" t="s">
        <v>219</v>
      </c>
      <c r="B75" s="21" t="s">
        <v>69</v>
      </c>
      <c r="C75" s="21">
        <v>2024</v>
      </c>
      <c r="D75" s="25" t="s">
        <v>220</v>
      </c>
      <c r="E75" s="21" t="str">
        <f t="shared" si="1"/>
        <v>Bio_2024_9</v>
      </c>
      <c r="F75" s="25" t="s">
        <v>221</v>
      </c>
      <c r="G75" s="42" t="s">
        <v>17</v>
      </c>
    </row>
    <row r="76" ht="62.4" spans="1:7">
      <c r="A76" s="21" t="s">
        <v>222</v>
      </c>
      <c r="B76" s="21" t="s">
        <v>69</v>
      </c>
      <c r="C76" s="21">
        <v>2024</v>
      </c>
      <c r="D76" s="25" t="s">
        <v>223</v>
      </c>
      <c r="E76" s="21" t="str">
        <f t="shared" si="1"/>
        <v>Bio_2024_10</v>
      </c>
      <c r="F76" s="25" t="s">
        <v>224</v>
      </c>
      <c r="G76" s="42" t="s">
        <v>11</v>
      </c>
    </row>
    <row r="77" ht="62.4" spans="1:7">
      <c r="A77" s="21" t="s">
        <v>225</v>
      </c>
      <c r="B77" s="21" t="s">
        <v>69</v>
      </c>
      <c r="C77" s="21">
        <v>2024</v>
      </c>
      <c r="D77" s="25" t="s">
        <v>226</v>
      </c>
      <c r="E77" s="21" t="str">
        <f t="shared" si="1"/>
        <v>Bio_2024_11</v>
      </c>
      <c r="F77" s="25" t="s">
        <v>146</v>
      </c>
      <c r="G77" s="42" t="s">
        <v>11</v>
      </c>
    </row>
    <row r="78" ht="78" spans="1:7">
      <c r="A78" s="21" t="s">
        <v>227</v>
      </c>
      <c r="B78" s="21" t="s">
        <v>69</v>
      </c>
      <c r="C78" s="21">
        <v>2024</v>
      </c>
      <c r="D78" s="25" t="s">
        <v>228</v>
      </c>
      <c r="E78" s="21" t="str">
        <f t="shared" si="1"/>
        <v>Bio_2024_12</v>
      </c>
      <c r="F78" s="25" t="s">
        <v>229</v>
      </c>
      <c r="G78" s="42" t="s">
        <v>26</v>
      </c>
    </row>
    <row r="79" ht="124.8" spans="1:7">
      <c r="A79" s="21" t="s">
        <v>230</v>
      </c>
      <c r="B79" s="21" t="s">
        <v>69</v>
      </c>
      <c r="C79" s="21">
        <v>2024</v>
      </c>
      <c r="D79" s="25" t="s">
        <v>231</v>
      </c>
      <c r="E79" s="21" t="str">
        <f t="shared" si="1"/>
        <v>Bio_2024_13</v>
      </c>
      <c r="F79" s="25" t="s">
        <v>232</v>
      </c>
      <c r="G79" s="42" t="s">
        <v>17</v>
      </c>
    </row>
    <row r="80" ht="62.4" spans="1:7">
      <c r="A80" s="21" t="s">
        <v>233</v>
      </c>
      <c r="B80" s="21" t="s">
        <v>69</v>
      </c>
      <c r="C80" s="21">
        <v>2024</v>
      </c>
      <c r="D80" s="25" t="s">
        <v>234</v>
      </c>
      <c r="E80" s="21" t="str">
        <f t="shared" si="1"/>
        <v>Bio_2024_14</v>
      </c>
      <c r="F80" s="25" t="s">
        <v>235</v>
      </c>
      <c r="G80" s="42" t="s">
        <v>26</v>
      </c>
    </row>
    <row r="81" ht="62.4" spans="1:7">
      <c r="A81" s="21" t="s">
        <v>236</v>
      </c>
      <c r="B81" s="21" t="s">
        <v>69</v>
      </c>
      <c r="C81" s="21">
        <v>2024</v>
      </c>
      <c r="D81" s="25" t="s">
        <v>237</v>
      </c>
      <c r="E81" s="21" t="str">
        <f t="shared" si="1"/>
        <v>Bio_2024_15</v>
      </c>
      <c r="F81" s="25" t="s">
        <v>146</v>
      </c>
      <c r="G81" s="42" t="s">
        <v>11</v>
      </c>
    </row>
    <row r="82" ht="62.4" spans="1:7">
      <c r="A82" s="21" t="s">
        <v>238</v>
      </c>
      <c r="B82" s="21" t="s">
        <v>69</v>
      </c>
      <c r="C82" s="21">
        <v>2024</v>
      </c>
      <c r="D82" s="25" t="s">
        <v>239</v>
      </c>
      <c r="E82" s="21" t="str">
        <f t="shared" si="1"/>
        <v>Bio_2024_16</v>
      </c>
      <c r="F82" s="25" t="s">
        <v>240</v>
      </c>
      <c r="G82" s="42" t="s">
        <v>26</v>
      </c>
    </row>
    <row r="83" ht="78" spans="1:7">
      <c r="A83" s="21" t="s">
        <v>241</v>
      </c>
      <c r="B83" s="21" t="s">
        <v>69</v>
      </c>
      <c r="C83" s="21">
        <v>2024</v>
      </c>
      <c r="D83" s="25" t="s">
        <v>242</v>
      </c>
      <c r="E83" s="21" t="str">
        <f t="shared" si="1"/>
        <v>Bio_2024_17</v>
      </c>
      <c r="F83" s="25" t="s">
        <v>243</v>
      </c>
      <c r="G83" s="42" t="s">
        <v>17</v>
      </c>
    </row>
    <row r="84" ht="109.2" spans="1:7">
      <c r="A84" s="21" t="s">
        <v>244</v>
      </c>
      <c r="B84" s="21" t="s">
        <v>69</v>
      </c>
      <c r="C84" s="21">
        <v>2024</v>
      </c>
      <c r="D84" s="25" t="s">
        <v>245</v>
      </c>
      <c r="E84" s="21" t="str">
        <f t="shared" si="1"/>
        <v>Bio_2024_18</v>
      </c>
      <c r="F84" s="25" t="s">
        <v>246</v>
      </c>
      <c r="G84" s="42" t="s">
        <v>30</v>
      </c>
    </row>
    <row r="85" ht="109.2" spans="1:7">
      <c r="A85" s="21" t="s">
        <v>247</v>
      </c>
      <c r="B85" s="21" t="s">
        <v>8</v>
      </c>
      <c r="C85" s="21">
        <v>2024</v>
      </c>
      <c r="D85" s="25" t="s">
        <v>248</v>
      </c>
      <c r="E85" s="21" t="str">
        <f t="shared" si="1"/>
        <v>Fiz_2024_1</v>
      </c>
      <c r="F85" s="25" t="s">
        <v>146</v>
      </c>
      <c r="G85" s="42" t="s">
        <v>30</v>
      </c>
    </row>
    <row r="86" ht="62.4" spans="1:7">
      <c r="A86" s="21" t="s">
        <v>249</v>
      </c>
      <c r="B86" s="21" t="s">
        <v>8</v>
      </c>
      <c r="C86" s="21">
        <v>2024</v>
      </c>
      <c r="D86" s="25" t="s">
        <v>250</v>
      </c>
      <c r="E86" s="21" t="str">
        <f t="shared" si="1"/>
        <v>Fiz_2024_2</v>
      </c>
      <c r="F86" s="25" t="s">
        <v>251</v>
      </c>
      <c r="G86" s="42" t="s">
        <v>30</v>
      </c>
    </row>
    <row r="87" ht="62.4" spans="1:7">
      <c r="A87" s="21" t="s">
        <v>252</v>
      </c>
      <c r="B87" s="21" t="s">
        <v>8</v>
      </c>
      <c r="C87" s="21">
        <v>2024</v>
      </c>
      <c r="D87" s="25" t="s">
        <v>253</v>
      </c>
      <c r="E87" s="21" t="str">
        <f t="shared" si="1"/>
        <v>Fiz_2024_3</v>
      </c>
      <c r="F87" s="25" t="s">
        <v>254</v>
      </c>
      <c r="G87" s="42" t="s">
        <v>83</v>
      </c>
    </row>
    <row r="88" ht="109.2" spans="1:7">
      <c r="A88" s="21" t="s">
        <v>255</v>
      </c>
      <c r="B88" s="21" t="s">
        <v>8</v>
      </c>
      <c r="C88" s="21">
        <v>2024</v>
      </c>
      <c r="D88" s="25" t="s">
        <v>256</v>
      </c>
      <c r="E88" s="21" t="str">
        <f t="shared" si="1"/>
        <v>Fiz_2024_4</v>
      </c>
      <c r="F88" s="25" t="s">
        <v>257</v>
      </c>
      <c r="G88" s="42" t="s">
        <v>26</v>
      </c>
    </row>
    <row r="89" ht="62.4" spans="1:7">
      <c r="A89" s="21" t="s">
        <v>258</v>
      </c>
      <c r="B89" s="21" t="s">
        <v>8</v>
      </c>
      <c r="C89" s="21">
        <v>2024</v>
      </c>
      <c r="D89" s="25" t="s">
        <v>259</v>
      </c>
      <c r="E89" s="21" t="str">
        <f t="shared" si="1"/>
        <v>Fiz_2024_5</v>
      </c>
      <c r="F89" s="25" t="s">
        <v>146</v>
      </c>
      <c r="G89" s="42" t="s">
        <v>11</v>
      </c>
    </row>
    <row r="90" ht="78" spans="1:7">
      <c r="A90" s="21" t="s">
        <v>260</v>
      </c>
      <c r="B90" s="21" t="s">
        <v>8</v>
      </c>
      <c r="C90" s="21">
        <v>2024</v>
      </c>
      <c r="D90" s="25" t="s">
        <v>261</v>
      </c>
      <c r="E90" s="21" t="str">
        <f t="shared" si="1"/>
        <v>Fiz_2024_6</v>
      </c>
      <c r="F90" s="25" t="s">
        <v>262</v>
      </c>
      <c r="G90" s="42" t="s">
        <v>26</v>
      </c>
    </row>
    <row r="91" ht="109.2" spans="1:7">
      <c r="A91" s="21" t="s">
        <v>263</v>
      </c>
      <c r="B91" s="21" t="s">
        <v>8</v>
      </c>
      <c r="C91" s="21">
        <v>2024</v>
      </c>
      <c r="D91" s="25" t="s">
        <v>264</v>
      </c>
      <c r="E91" s="21" t="str">
        <f t="shared" si="1"/>
        <v>Fiz_2024_7</v>
      </c>
      <c r="F91" s="25" t="s">
        <v>265</v>
      </c>
      <c r="G91" s="42" t="s">
        <v>11</v>
      </c>
    </row>
    <row r="92" ht="93.6" spans="1:7">
      <c r="A92" s="21" t="s">
        <v>266</v>
      </c>
      <c r="B92" s="21" t="s">
        <v>8</v>
      </c>
      <c r="C92" s="21">
        <v>2024</v>
      </c>
      <c r="D92" s="25" t="s">
        <v>267</v>
      </c>
      <c r="E92" s="21" t="str">
        <f t="shared" si="1"/>
        <v>Fiz_2024_8</v>
      </c>
      <c r="F92" s="25" t="s">
        <v>268</v>
      </c>
      <c r="G92" s="42" t="s">
        <v>11</v>
      </c>
    </row>
    <row r="93" ht="62.4" spans="1:7">
      <c r="A93" s="21" t="s">
        <v>269</v>
      </c>
      <c r="B93" s="21" t="s">
        <v>8</v>
      </c>
      <c r="C93" s="21">
        <v>2024</v>
      </c>
      <c r="D93" s="25" t="s">
        <v>270</v>
      </c>
      <c r="E93" s="21" t="str">
        <f t="shared" si="1"/>
        <v>Fiz_2024_9</v>
      </c>
      <c r="F93" s="25" t="s">
        <v>271</v>
      </c>
      <c r="G93" s="42" t="s">
        <v>11</v>
      </c>
    </row>
    <row r="94" ht="78" spans="1:7">
      <c r="A94" s="21" t="s">
        <v>272</v>
      </c>
      <c r="B94" s="21" t="s">
        <v>8</v>
      </c>
      <c r="C94" s="21">
        <v>2024</v>
      </c>
      <c r="D94" s="25" t="s">
        <v>273</v>
      </c>
      <c r="E94" s="21" t="str">
        <f t="shared" si="1"/>
        <v>Fiz_2024_10</v>
      </c>
      <c r="F94" s="25" t="s">
        <v>274</v>
      </c>
      <c r="G94" s="42" t="s">
        <v>26</v>
      </c>
    </row>
    <row r="95" ht="78" spans="1:7">
      <c r="A95" s="21" t="s">
        <v>275</v>
      </c>
      <c r="B95" s="21" t="s">
        <v>8</v>
      </c>
      <c r="C95" s="21">
        <v>2024</v>
      </c>
      <c r="D95" s="25" t="s">
        <v>276</v>
      </c>
      <c r="E95" s="21" t="str">
        <f t="shared" si="1"/>
        <v>Fiz_2024_11</v>
      </c>
      <c r="F95" s="25" t="s">
        <v>146</v>
      </c>
      <c r="G95" s="42" t="s">
        <v>30</v>
      </c>
    </row>
    <row r="96" ht="93.6" spans="1:7">
      <c r="A96" s="21" t="s">
        <v>277</v>
      </c>
      <c r="B96" s="21" t="s">
        <v>8</v>
      </c>
      <c r="C96" s="21">
        <v>2024</v>
      </c>
      <c r="D96" s="25" t="s">
        <v>278</v>
      </c>
      <c r="E96" s="21" t="str">
        <f t="shared" si="1"/>
        <v>Fiz_2024_12</v>
      </c>
      <c r="F96" s="25" t="s">
        <v>279</v>
      </c>
      <c r="G96" s="42" t="s">
        <v>26</v>
      </c>
    </row>
    <row r="97" ht="62.4" spans="1:7">
      <c r="A97" s="21" t="s">
        <v>280</v>
      </c>
      <c r="B97" s="21" t="s">
        <v>8</v>
      </c>
      <c r="C97" s="21">
        <v>2024</v>
      </c>
      <c r="D97" s="25" t="s">
        <v>281</v>
      </c>
      <c r="E97" s="21" t="str">
        <f t="shared" si="1"/>
        <v>Fiz_2024_13</v>
      </c>
      <c r="F97" s="25" t="s">
        <v>146</v>
      </c>
      <c r="G97" s="42" t="s">
        <v>17</v>
      </c>
    </row>
    <row r="98" ht="62.4" spans="1:7">
      <c r="A98" s="21" t="s">
        <v>282</v>
      </c>
      <c r="B98" s="21" t="s">
        <v>8</v>
      </c>
      <c r="C98" s="21">
        <v>2024</v>
      </c>
      <c r="D98" s="25" t="s">
        <v>283</v>
      </c>
      <c r="E98" s="21" t="str">
        <f t="shared" si="1"/>
        <v>Fiz_2024_14</v>
      </c>
      <c r="F98" s="25" t="s">
        <v>146</v>
      </c>
      <c r="G98" s="42" t="s">
        <v>30</v>
      </c>
    </row>
    <row r="99" ht="62.4" spans="1:7">
      <c r="A99" s="21" t="s">
        <v>284</v>
      </c>
      <c r="B99" s="21" t="s">
        <v>113</v>
      </c>
      <c r="C99" s="21">
        <v>2024</v>
      </c>
      <c r="D99" s="25" t="s">
        <v>285</v>
      </c>
      <c r="E99" s="21" t="str">
        <f t="shared" si="1"/>
        <v>Geo_2024_1</v>
      </c>
      <c r="F99" s="25" t="s">
        <v>286</v>
      </c>
      <c r="G99" s="42" t="s">
        <v>30</v>
      </c>
    </row>
    <row r="100" ht="62.4" spans="1:7">
      <c r="A100" s="21" t="s">
        <v>287</v>
      </c>
      <c r="B100" s="21" t="s">
        <v>113</v>
      </c>
      <c r="C100" s="21">
        <v>2024</v>
      </c>
      <c r="D100" s="25" t="s">
        <v>288</v>
      </c>
      <c r="E100" s="21" t="str">
        <f t="shared" si="1"/>
        <v>Geo_2024_2</v>
      </c>
      <c r="F100" s="25" t="s">
        <v>289</v>
      </c>
      <c r="G100" s="42" t="s">
        <v>11</v>
      </c>
    </row>
    <row r="101" ht="171.6" spans="1:7">
      <c r="A101" s="21" t="s">
        <v>290</v>
      </c>
      <c r="B101" s="21" t="s">
        <v>113</v>
      </c>
      <c r="C101" s="21">
        <v>2024</v>
      </c>
      <c r="D101" s="25" t="s">
        <v>291</v>
      </c>
      <c r="E101" s="21" t="str">
        <f t="shared" si="1"/>
        <v>Geo_2024_3</v>
      </c>
      <c r="F101" s="25" t="s">
        <v>292</v>
      </c>
      <c r="G101" s="42" t="s">
        <v>11</v>
      </c>
    </row>
    <row r="102" ht="124.8" spans="1:7">
      <c r="A102" s="21" t="s">
        <v>293</v>
      </c>
      <c r="B102" s="21" t="s">
        <v>113</v>
      </c>
      <c r="C102" s="21">
        <v>2024</v>
      </c>
      <c r="D102" s="25" t="s">
        <v>294</v>
      </c>
      <c r="E102" s="21" t="str">
        <f t="shared" si="1"/>
        <v>Geo_2024_4</v>
      </c>
      <c r="F102" s="25" t="s">
        <v>295</v>
      </c>
      <c r="G102" s="42" t="s">
        <v>11</v>
      </c>
    </row>
    <row r="103" ht="78" spans="1:7">
      <c r="A103" s="21" t="s">
        <v>296</v>
      </c>
      <c r="B103" s="21" t="s">
        <v>113</v>
      </c>
      <c r="C103" s="21">
        <v>2024</v>
      </c>
      <c r="D103" s="25" t="s">
        <v>297</v>
      </c>
      <c r="E103" s="21" t="str">
        <f t="shared" si="1"/>
        <v>Geo_2024_5</v>
      </c>
      <c r="F103" s="25" t="s">
        <v>298</v>
      </c>
      <c r="G103" s="42" t="s">
        <v>26</v>
      </c>
    </row>
    <row r="104" ht="62.4" spans="1:7">
      <c r="A104" s="21" t="s">
        <v>299</v>
      </c>
      <c r="B104" s="21" t="s">
        <v>113</v>
      </c>
      <c r="C104" s="21">
        <v>2024</v>
      </c>
      <c r="D104" s="25" t="s">
        <v>300</v>
      </c>
      <c r="E104" s="21" t="str">
        <f t="shared" si="1"/>
        <v>Geo_2024_6</v>
      </c>
      <c r="F104" s="25" t="s">
        <v>301</v>
      </c>
      <c r="G104" s="42" t="s">
        <v>17</v>
      </c>
    </row>
    <row r="105" ht="62.4" spans="1:7">
      <c r="A105" s="21" t="s">
        <v>302</v>
      </c>
      <c r="B105" s="21" t="s">
        <v>113</v>
      </c>
      <c r="C105" s="21">
        <v>2024</v>
      </c>
      <c r="D105" s="25" t="s">
        <v>303</v>
      </c>
      <c r="E105" s="21" t="str">
        <f t="shared" si="1"/>
        <v>Geo_2024_7</v>
      </c>
      <c r="F105" s="25" t="s">
        <v>304</v>
      </c>
      <c r="G105" s="42" t="s">
        <v>26</v>
      </c>
    </row>
    <row r="106" ht="62.4" spans="1:7">
      <c r="A106" s="21" t="s">
        <v>305</v>
      </c>
      <c r="B106" s="21" t="s">
        <v>113</v>
      </c>
      <c r="C106" s="21">
        <v>2024</v>
      </c>
      <c r="D106" s="25" t="s">
        <v>306</v>
      </c>
      <c r="E106" s="21" t="str">
        <f t="shared" si="1"/>
        <v>Geo_2024_8</v>
      </c>
      <c r="F106" s="25" t="s">
        <v>307</v>
      </c>
      <c r="G106" s="42" t="s">
        <v>17</v>
      </c>
    </row>
    <row r="107" ht="78" spans="1:7">
      <c r="A107" s="21" t="s">
        <v>308</v>
      </c>
      <c r="B107" s="21" t="s">
        <v>113</v>
      </c>
      <c r="C107" s="21">
        <v>2024</v>
      </c>
      <c r="D107" s="25" t="s">
        <v>309</v>
      </c>
      <c r="E107" s="21" t="str">
        <f t="shared" si="1"/>
        <v>Geo_2024_9</v>
      </c>
      <c r="F107" s="25" t="s">
        <v>146</v>
      </c>
      <c r="G107" s="42" t="s">
        <v>30</v>
      </c>
    </row>
    <row r="108" ht="62.4" spans="1:7">
      <c r="A108" s="21" t="s">
        <v>310</v>
      </c>
      <c r="B108" s="21" t="s">
        <v>135</v>
      </c>
      <c r="C108" s="21">
        <v>2025</v>
      </c>
      <c r="D108" s="25" t="s">
        <v>311</v>
      </c>
      <c r="E108" s="21" t="str">
        <f t="shared" si="1"/>
        <v>Mat_2025_1</v>
      </c>
      <c r="F108" s="25" t="s">
        <v>312</v>
      </c>
      <c r="G108" s="42" t="s">
        <v>17</v>
      </c>
    </row>
    <row r="109" ht="62.4" spans="1:7">
      <c r="A109" s="21" t="s">
        <v>313</v>
      </c>
      <c r="B109" s="21" t="s">
        <v>135</v>
      </c>
      <c r="C109" s="21">
        <v>2025</v>
      </c>
      <c r="D109" s="25" t="s">
        <v>314</v>
      </c>
      <c r="E109" s="21" t="str">
        <f t="shared" si="1"/>
        <v>Mat_2025_2</v>
      </c>
      <c r="F109" s="25" t="s">
        <v>315</v>
      </c>
      <c r="G109" s="42" t="s">
        <v>26</v>
      </c>
    </row>
    <row r="110" ht="62.4" spans="1:7">
      <c r="A110" s="21" t="s">
        <v>316</v>
      </c>
      <c r="B110" s="21" t="s">
        <v>135</v>
      </c>
      <c r="C110" s="21">
        <v>2025</v>
      </c>
      <c r="D110" s="25" t="s">
        <v>317</v>
      </c>
      <c r="E110" s="21" t="str">
        <f t="shared" si="1"/>
        <v>Mat_2025_3</v>
      </c>
      <c r="F110" s="25" t="s">
        <v>146</v>
      </c>
      <c r="G110" s="42" t="s">
        <v>11</v>
      </c>
    </row>
    <row r="111" ht="62.4" spans="1:7">
      <c r="A111" s="21" t="s">
        <v>318</v>
      </c>
      <c r="B111" s="21" t="s">
        <v>113</v>
      </c>
      <c r="C111" s="21">
        <v>2025</v>
      </c>
      <c r="D111" s="25" t="s">
        <v>319</v>
      </c>
      <c r="E111" s="21" t="str">
        <f t="shared" si="1"/>
        <v>Geo_2025_1</v>
      </c>
      <c r="F111" s="25" t="s">
        <v>320</v>
      </c>
      <c r="G111" s="42" t="s">
        <v>11</v>
      </c>
    </row>
    <row r="112" ht="62.4" spans="1:7">
      <c r="A112" s="21" t="s">
        <v>321</v>
      </c>
      <c r="B112" s="21" t="s">
        <v>113</v>
      </c>
      <c r="C112" s="21">
        <v>2025</v>
      </c>
      <c r="D112" s="25" t="s">
        <v>322</v>
      </c>
      <c r="E112" s="21" t="str">
        <f t="shared" si="1"/>
        <v>Geo_2025_2</v>
      </c>
      <c r="F112" s="25" t="s">
        <v>323</v>
      </c>
      <c r="G112" s="42" t="s">
        <v>11</v>
      </c>
    </row>
    <row r="113" ht="62.4" spans="1:7">
      <c r="A113" s="21" t="s">
        <v>324</v>
      </c>
      <c r="B113" s="21" t="s">
        <v>113</v>
      </c>
      <c r="C113" s="21">
        <v>2025</v>
      </c>
      <c r="D113" s="25" t="s">
        <v>325</v>
      </c>
      <c r="E113" s="21" t="str">
        <f t="shared" si="1"/>
        <v>Geo_2025_3</v>
      </c>
      <c r="F113" s="25" t="s">
        <v>326</v>
      </c>
      <c r="G113" s="42" t="s">
        <v>11</v>
      </c>
    </row>
    <row r="114" ht="62.4" spans="1:7">
      <c r="A114" s="21" t="s">
        <v>327</v>
      </c>
      <c r="B114" s="21" t="s">
        <v>113</v>
      </c>
      <c r="C114" s="21">
        <v>2025</v>
      </c>
      <c r="D114" s="25" t="s">
        <v>328</v>
      </c>
      <c r="E114" s="21" t="str">
        <f t="shared" si="1"/>
        <v>Geo_2025_4</v>
      </c>
      <c r="F114" s="25" t="s">
        <v>329</v>
      </c>
      <c r="G114" s="42" t="s">
        <v>26</v>
      </c>
    </row>
    <row r="115" ht="109.2" spans="1:7">
      <c r="A115" s="21" t="s">
        <v>330</v>
      </c>
      <c r="B115" s="21" t="s">
        <v>8</v>
      </c>
      <c r="C115" s="21">
        <v>2025</v>
      </c>
      <c r="D115" s="25" t="s">
        <v>331</v>
      </c>
      <c r="E115" s="21" t="str">
        <f t="shared" si="1"/>
        <v>Fiz_2025_1</v>
      </c>
      <c r="F115" s="25" t="s">
        <v>332</v>
      </c>
      <c r="G115" s="42" t="s">
        <v>11</v>
      </c>
    </row>
    <row r="116" ht="78" spans="1:7">
      <c r="A116" s="21" t="s">
        <v>333</v>
      </c>
      <c r="B116" s="21" t="s">
        <v>8</v>
      </c>
      <c r="C116" s="21">
        <v>2025</v>
      </c>
      <c r="D116" s="25" t="s">
        <v>334</v>
      </c>
      <c r="E116" s="21" t="str">
        <f t="shared" si="1"/>
        <v>Fiz_2025_2</v>
      </c>
      <c r="F116" s="25" t="s">
        <v>335</v>
      </c>
      <c r="G116" s="42" t="s">
        <v>17</v>
      </c>
    </row>
    <row r="117" ht="124.8" spans="1:7">
      <c r="A117" s="21" t="s">
        <v>336</v>
      </c>
      <c r="B117" s="21" t="s">
        <v>8</v>
      </c>
      <c r="C117" s="21">
        <v>2025</v>
      </c>
      <c r="D117" s="25" t="s">
        <v>337</v>
      </c>
      <c r="E117" s="21" t="str">
        <f t="shared" si="1"/>
        <v>Fiz_2025_3</v>
      </c>
      <c r="F117" s="25" t="s">
        <v>338</v>
      </c>
      <c r="G117" s="42" t="s">
        <v>17</v>
      </c>
    </row>
    <row r="118" ht="62.4" spans="1:7">
      <c r="A118" s="21" t="s">
        <v>339</v>
      </c>
      <c r="B118" s="21" t="s">
        <v>8</v>
      </c>
      <c r="C118" s="21">
        <v>2025</v>
      </c>
      <c r="D118" s="25" t="s">
        <v>340</v>
      </c>
      <c r="E118" s="21" t="str">
        <f t="shared" si="1"/>
        <v>Fiz_2025_4</v>
      </c>
      <c r="F118" s="25" t="s">
        <v>146</v>
      </c>
      <c r="G118" s="42" t="s">
        <v>11</v>
      </c>
    </row>
    <row r="119" ht="62.4" spans="1:7">
      <c r="A119" s="21" t="s">
        <v>341</v>
      </c>
      <c r="B119" s="21" t="s">
        <v>8</v>
      </c>
      <c r="C119" s="21">
        <v>2025</v>
      </c>
      <c r="D119" s="25" t="s">
        <v>342</v>
      </c>
      <c r="E119" s="21" t="str">
        <f t="shared" si="1"/>
        <v>Fiz_2025_5</v>
      </c>
      <c r="F119" s="25" t="s">
        <v>343</v>
      </c>
      <c r="G119" s="42" t="s">
        <v>30</v>
      </c>
    </row>
    <row r="120" ht="109.2" spans="1:7">
      <c r="A120" s="21" t="s">
        <v>344</v>
      </c>
      <c r="B120" s="21" t="s">
        <v>8</v>
      </c>
      <c r="C120" s="21">
        <v>2025</v>
      </c>
      <c r="D120" s="25" t="s">
        <v>345</v>
      </c>
      <c r="E120" s="21" t="str">
        <f t="shared" si="1"/>
        <v>Fiz_2025_6</v>
      </c>
      <c r="F120" s="25" t="s">
        <v>146</v>
      </c>
      <c r="G120" s="42" t="s">
        <v>83</v>
      </c>
    </row>
    <row r="121" ht="109.2" spans="1:7">
      <c r="A121" s="21" t="s">
        <v>346</v>
      </c>
      <c r="B121" s="21" t="s">
        <v>8</v>
      </c>
      <c r="C121" s="21">
        <v>2025</v>
      </c>
      <c r="D121" s="25" t="s">
        <v>347</v>
      </c>
      <c r="E121" s="21" t="str">
        <f t="shared" si="1"/>
        <v>Fiz_2025_7</v>
      </c>
      <c r="F121" s="25" t="s">
        <v>348</v>
      </c>
      <c r="G121" s="42" t="s">
        <v>30</v>
      </c>
    </row>
    <row r="122" ht="62.4" spans="1:7">
      <c r="A122" s="21" t="s">
        <v>349</v>
      </c>
      <c r="B122" s="21" t="s">
        <v>8</v>
      </c>
      <c r="C122" s="21">
        <v>2025</v>
      </c>
      <c r="D122" s="25" t="s">
        <v>350</v>
      </c>
      <c r="E122" s="21" t="str">
        <f t="shared" si="1"/>
        <v>Fiz_2025_8</v>
      </c>
      <c r="F122" s="25" t="s">
        <v>146</v>
      </c>
      <c r="G122" s="42" t="s">
        <v>17</v>
      </c>
    </row>
    <row r="123" ht="62.4" spans="1:7">
      <c r="A123" s="21" t="s">
        <v>351</v>
      </c>
      <c r="B123" s="21" t="s">
        <v>8</v>
      </c>
      <c r="C123" s="21">
        <v>2025</v>
      </c>
      <c r="D123" s="25" t="s">
        <v>352</v>
      </c>
      <c r="E123" s="21" t="str">
        <f t="shared" si="1"/>
        <v>Fiz_2025_9</v>
      </c>
      <c r="F123" s="25" t="s">
        <v>353</v>
      </c>
      <c r="G123" s="42" t="s">
        <v>26</v>
      </c>
    </row>
    <row r="124" ht="62.4" spans="1:7">
      <c r="A124" s="21" t="s">
        <v>354</v>
      </c>
      <c r="B124" s="21" t="s">
        <v>8</v>
      </c>
      <c r="C124" s="21">
        <v>2025</v>
      </c>
      <c r="D124" s="25" t="s">
        <v>355</v>
      </c>
      <c r="E124" s="21" t="str">
        <f t="shared" si="1"/>
        <v>Fiz_2025_10</v>
      </c>
      <c r="F124" s="25" t="s">
        <v>146</v>
      </c>
      <c r="G124" s="42" t="s">
        <v>11</v>
      </c>
    </row>
    <row r="125" ht="140.4" spans="1:7">
      <c r="A125" s="21" t="s">
        <v>356</v>
      </c>
      <c r="B125" s="21" t="s">
        <v>8</v>
      </c>
      <c r="C125" s="21">
        <v>2025</v>
      </c>
      <c r="D125" s="25" t="s">
        <v>357</v>
      </c>
      <c r="E125" s="21" t="str">
        <f t="shared" si="1"/>
        <v>Fiz_2025_11</v>
      </c>
      <c r="F125" s="25" t="s">
        <v>358</v>
      </c>
      <c r="G125" s="42" t="s">
        <v>17</v>
      </c>
    </row>
    <row r="126" ht="62.4" spans="1:7">
      <c r="A126" s="21" t="s">
        <v>359</v>
      </c>
      <c r="B126" s="21" t="s">
        <v>8</v>
      </c>
      <c r="C126" s="21">
        <v>2025</v>
      </c>
      <c r="D126" s="25" t="s">
        <v>360</v>
      </c>
      <c r="E126" s="21" t="str">
        <f t="shared" si="1"/>
        <v>Fiz_2025_12</v>
      </c>
      <c r="F126" s="25" t="s">
        <v>361</v>
      </c>
      <c r="G126" s="42" t="s">
        <v>30</v>
      </c>
    </row>
    <row r="127" ht="124.8" spans="1:7">
      <c r="A127" s="21" t="s">
        <v>362</v>
      </c>
      <c r="B127" s="21" t="s">
        <v>8</v>
      </c>
      <c r="C127" s="21">
        <v>2025</v>
      </c>
      <c r="D127" s="25" t="s">
        <v>363</v>
      </c>
      <c r="E127" s="21" t="str">
        <f t="shared" si="1"/>
        <v>Fiz_2025_13</v>
      </c>
      <c r="F127" s="25" t="s">
        <v>364</v>
      </c>
      <c r="G127" s="42" t="s">
        <v>26</v>
      </c>
    </row>
    <row r="128" ht="62.4" spans="1:7">
      <c r="A128" s="21" t="s">
        <v>365</v>
      </c>
      <c r="B128" s="21" t="s">
        <v>8</v>
      </c>
      <c r="C128" s="21">
        <v>2025</v>
      </c>
      <c r="D128" s="25" t="s">
        <v>366</v>
      </c>
      <c r="E128" s="21" t="str">
        <f t="shared" si="1"/>
        <v>Fiz_2025_14</v>
      </c>
      <c r="F128" s="25" t="s">
        <v>146</v>
      </c>
      <c r="G128" s="42" t="s">
        <v>11</v>
      </c>
    </row>
    <row r="129" ht="62.4" spans="1:7">
      <c r="A129" s="21" t="s">
        <v>367</v>
      </c>
      <c r="B129" s="21" t="s">
        <v>39</v>
      </c>
      <c r="C129" s="21">
        <v>2025</v>
      </c>
      <c r="D129" s="25" t="s">
        <v>368</v>
      </c>
      <c r="E129" s="21" t="str">
        <f t="shared" si="1"/>
        <v>Kimija_2025_1</v>
      </c>
      <c r="F129" s="25" t="s">
        <v>146</v>
      </c>
      <c r="G129" s="42" t="s">
        <v>30</v>
      </c>
    </row>
    <row r="130" ht="124.8" spans="1:7">
      <c r="A130" s="21" t="s">
        <v>369</v>
      </c>
      <c r="B130" s="21" t="s">
        <v>39</v>
      </c>
      <c r="C130" s="21">
        <v>2025</v>
      </c>
      <c r="D130" s="25" t="s">
        <v>370</v>
      </c>
      <c r="E130" s="21" t="str">
        <f t="shared" si="1"/>
        <v>Kimija_2025_2</v>
      </c>
      <c r="F130" s="25" t="s">
        <v>371</v>
      </c>
      <c r="G130" s="42" t="s">
        <v>26</v>
      </c>
    </row>
    <row r="131" ht="78" spans="1:7">
      <c r="A131" s="21" t="s">
        <v>372</v>
      </c>
      <c r="B131" s="21" t="s">
        <v>39</v>
      </c>
      <c r="C131" s="21">
        <v>2025</v>
      </c>
      <c r="D131" s="25" t="s">
        <v>373</v>
      </c>
      <c r="E131" s="21" t="str">
        <f t="shared" si="1"/>
        <v>Kimija_2025_3</v>
      </c>
      <c r="F131" s="25" t="s">
        <v>374</v>
      </c>
      <c r="G131" s="42" t="s">
        <v>30</v>
      </c>
    </row>
    <row r="132" ht="62.4" spans="1:7">
      <c r="A132" s="21" t="s">
        <v>375</v>
      </c>
      <c r="B132" s="21" t="s">
        <v>39</v>
      </c>
      <c r="C132" s="21">
        <v>2025</v>
      </c>
      <c r="D132" s="25" t="s">
        <v>376</v>
      </c>
      <c r="E132" s="21" t="str">
        <f t="shared" si="1"/>
        <v>Kimija_2025_4</v>
      </c>
      <c r="F132" s="25" t="s">
        <v>377</v>
      </c>
      <c r="G132" s="42" t="s">
        <v>17</v>
      </c>
    </row>
    <row r="133" ht="62.4" spans="1:7">
      <c r="A133" s="21" t="s">
        <v>378</v>
      </c>
      <c r="B133" s="21" t="s">
        <v>39</v>
      </c>
      <c r="C133" s="21">
        <v>2025</v>
      </c>
      <c r="D133" s="25" t="s">
        <v>379</v>
      </c>
      <c r="E133" s="21" t="str">
        <f t="shared" ref="E133:E156" si="2">A:A</f>
        <v>Kimija_2025_5</v>
      </c>
      <c r="F133" s="25" t="s">
        <v>380</v>
      </c>
      <c r="G133" s="42" t="s">
        <v>11</v>
      </c>
    </row>
    <row r="134" ht="62.4" spans="1:7">
      <c r="A134" s="21" t="s">
        <v>381</v>
      </c>
      <c r="B134" s="21" t="s">
        <v>39</v>
      </c>
      <c r="C134" s="21">
        <v>2025</v>
      </c>
      <c r="D134" s="25" t="s">
        <v>382</v>
      </c>
      <c r="E134" s="21" t="str">
        <f t="shared" si="2"/>
        <v>Kimija_2025_6</v>
      </c>
      <c r="F134" s="25" t="s">
        <v>146</v>
      </c>
      <c r="G134" s="42" t="s">
        <v>17</v>
      </c>
    </row>
    <row r="135" ht="62.4" spans="1:7">
      <c r="A135" s="21" t="s">
        <v>383</v>
      </c>
      <c r="B135" s="21" t="s">
        <v>39</v>
      </c>
      <c r="C135" s="21">
        <v>2025</v>
      </c>
      <c r="D135" s="25" t="s">
        <v>384</v>
      </c>
      <c r="E135" s="21" t="str">
        <f t="shared" si="2"/>
        <v>Kimija_2025_7</v>
      </c>
      <c r="F135" s="25" t="s">
        <v>385</v>
      </c>
      <c r="G135" s="42" t="s">
        <v>11</v>
      </c>
    </row>
    <row r="136" ht="62.4" spans="1:7">
      <c r="A136" s="21" t="s">
        <v>386</v>
      </c>
      <c r="B136" s="21" t="s">
        <v>39</v>
      </c>
      <c r="C136" s="21">
        <v>2025</v>
      </c>
      <c r="D136" s="25" t="s">
        <v>387</v>
      </c>
      <c r="E136" s="21" t="str">
        <f t="shared" si="2"/>
        <v>Kimija_2025_8</v>
      </c>
      <c r="F136" s="25" t="s">
        <v>146</v>
      </c>
      <c r="G136" s="42" t="s">
        <v>26</v>
      </c>
    </row>
    <row r="137" ht="62.4" spans="1:7">
      <c r="A137" s="21" t="s">
        <v>388</v>
      </c>
      <c r="B137" s="21" t="s">
        <v>39</v>
      </c>
      <c r="C137" s="21">
        <v>2025</v>
      </c>
      <c r="D137" s="25" t="s">
        <v>389</v>
      </c>
      <c r="E137" s="21" t="str">
        <f t="shared" si="2"/>
        <v>Kimija_2025_9</v>
      </c>
      <c r="F137" s="25" t="s">
        <v>146</v>
      </c>
      <c r="G137" s="42" t="s">
        <v>17</v>
      </c>
    </row>
    <row r="138" ht="62.4" spans="1:7">
      <c r="A138" s="21" t="s">
        <v>390</v>
      </c>
      <c r="B138" s="21" t="s">
        <v>39</v>
      </c>
      <c r="C138" s="21">
        <v>2025</v>
      </c>
      <c r="D138" s="25" t="s">
        <v>391</v>
      </c>
      <c r="E138" s="21" t="str">
        <f t="shared" si="2"/>
        <v>Kimija_2025_10</v>
      </c>
      <c r="F138" s="25" t="s">
        <v>392</v>
      </c>
      <c r="G138" s="42" t="s">
        <v>17</v>
      </c>
    </row>
    <row r="139" ht="62.4" spans="1:7">
      <c r="A139" s="21" t="s">
        <v>393</v>
      </c>
      <c r="B139" s="21" t="s">
        <v>39</v>
      </c>
      <c r="C139" s="21">
        <v>2025</v>
      </c>
      <c r="D139" s="25" t="s">
        <v>394</v>
      </c>
      <c r="E139" s="21" t="str">
        <f t="shared" si="2"/>
        <v>Kimija_2025_11</v>
      </c>
      <c r="F139" s="25" t="s">
        <v>395</v>
      </c>
      <c r="G139" s="42" t="s">
        <v>11</v>
      </c>
    </row>
    <row r="140" ht="93.6" spans="1:7">
      <c r="A140" s="21" t="s">
        <v>396</v>
      </c>
      <c r="B140" s="21" t="s">
        <v>39</v>
      </c>
      <c r="C140" s="21">
        <v>2025</v>
      </c>
      <c r="D140" s="25" t="s">
        <v>397</v>
      </c>
      <c r="E140" s="21" t="str">
        <f t="shared" si="2"/>
        <v>Kimija_2025_12</v>
      </c>
      <c r="F140" s="25" t="s">
        <v>398</v>
      </c>
      <c r="G140" s="42" t="s">
        <v>26</v>
      </c>
    </row>
    <row r="141" ht="62.4" spans="1:7">
      <c r="A141" s="21" t="s">
        <v>399</v>
      </c>
      <c r="B141" s="21" t="s">
        <v>69</v>
      </c>
      <c r="C141" s="21">
        <v>2025</v>
      </c>
      <c r="D141" s="25" t="s">
        <v>400</v>
      </c>
      <c r="E141" s="21" t="str">
        <f t="shared" si="2"/>
        <v>Bio_2025_1</v>
      </c>
      <c r="F141" s="25" t="s">
        <v>146</v>
      </c>
      <c r="G141" s="42" t="s">
        <v>17</v>
      </c>
    </row>
    <row r="142" ht="62.4" spans="1:7">
      <c r="A142" s="21" t="s">
        <v>401</v>
      </c>
      <c r="B142" s="21" t="s">
        <v>69</v>
      </c>
      <c r="C142" s="21">
        <v>2025</v>
      </c>
      <c r="D142" s="25" t="s">
        <v>402</v>
      </c>
      <c r="E142" s="21" t="str">
        <f t="shared" si="2"/>
        <v>Bio_2025_2</v>
      </c>
      <c r="F142" s="25" t="s">
        <v>403</v>
      </c>
      <c r="G142" s="42" t="s">
        <v>26</v>
      </c>
    </row>
    <row r="143" ht="93.6" spans="1:7">
      <c r="A143" s="21" t="s">
        <v>404</v>
      </c>
      <c r="B143" s="21" t="s">
        <v>69</v>
      </c>
      <c r="C143" s="21">
        <v>2025</v>
      </c>
      <c r="D143" s="25" t="s">
        <v>405</v>
      </c>
      <c r="E143" s="21" t="str">
        <f t="shared" si="2"/>
        <v>Bio_2025_3</v>
      </c>
      <c r="F143" s="25" t="s">
        <v>406</v>
      </c>
      <c r="G143" s="42" t="s">
        <v>17</v>
      </c>
    </row>
    <row r="144" ht="187.2" spans="1:7">
      <c r="A144" s="21" t="s">
        <v>407</v>
      </c>
      <c r="B144" s="21" t="s">
        <v>69</v>
      </c>
      <c r="C144" s="21">
        <v>2025</v>
      </c>
      <c r="D144" s="25" t="s">
        <v>408</v>
      </c>
      <c r="E144" s="21" t="str">
        <f t="shared" si="2"/>
        <v>Bio_2025_4</v>
      </c>
      <c r="F144" s="25" t="s">
        <v>409</v>
      </c>
      <c r="G144" s="42" t="s">
        <v>83</v>
      </c>
    </row>
    <row r="145" ht="109.2" spans="1:7">
      <c r="A145" s="21" t="s">
        <v>410</v>
      </c>
      <c r="B145" s="21" t="s">
        <v>69</v>
      </c>
      <c r="C145" s="21">
        <v>2025</v>
      </c>
      <c r="D145" s="25" t="s">
        <v>411</v>
      </c>
      <c r="E145" s="21" t="str">
        <f t="shared" si="2"/>
        <v>Bio_2025_5</v>
      </c>
      <c r="F145" s="25" t="s">
        <v>412</v>
      </c>
      <c r="G145" s="42" t="s">
        <v>26</v>
      </c>
    </row>
    <row r="146" ht="62.4" spans="1:7">
      <c r="A146" s="21" t="s">
        <v>413</v>
      </c>
      <c r="B146" s="21" t="s">
        <v>69</v>
      </c>
      <c r="C146" s="21">
        <v>2025</v>
      </c>
      <c r="D146" s="25" t="s">
        <v>414</v>
      </c>
      <c r="E146" s="21" t="str">
        <f t="shared" si="2"/>
        <v>Bio_2025_6</v>
      </c>
      <c r="F146" s="25" t="s">
        <v>415</v>
      </c>
      <c r="G146" s="42" t="s">
        <v>26</v>
      </c>
    </row>
    <row r="147" ht="62.4" spans="1:7">
      <c r="A147" s="21" t="s">
        <v>416</v>
      </c>
      <c r="B147" s="21" t="s">
        <v>69</v>
      </c>
      <c r="C147" s="21">
        <v>2025</v>
      </c>
      <c r="D147" s="25" t="s">
        <v>417</v>
      </c>
      <c r="E147" s="21" t="str">
        <f t="shared" si="2"/>
        <v>Bio_2025_7</v>
      </c>
      <c r="F147" s="25" t="s">
        <v>418</v>
      </c>
      <c r="G147" s="42" t="s">
        <v>30</v>
      </c>
    </row>
    <row r="148" ht="62.4" spans="1:7">
      <c r="A148" s="21" t="s">
        <v>419</v>
      </c>
      <c r="B148" s="21" t="s">
        <v>69</v>
      </c>
      <c r="C148" s="21">
        <v>2025</v>
      </c>
      <c r="D148" s="25" t="s">
        <v>420</v>
      </c>
      <c r="E148" s="21" t="str">
        <f t="shared" si="2"/>
        <v>Bio_2025_8</v>
      </c>
      <c r="F148" s="25" t="s">
        <v>421</v>
      </c>
      <c r="G148" s="42" t="s">
        <v>30</v>
      </c>
    </row>
    <row r="149" ht="93.6" spans="1:7">
      <c r="A149" s="21" t="s">
        <v>422</v>
      </c>
      <c r="B149" s="21" t="s">
        <v>69</v>
      </c>
      <c r="C149" s="21">
        <v>2025</v>
      </c>
      <c r="D149" s="25" t="s">
        <v>423</v>
      </c>
      <c r="E149" s="21" t="str">
        <f t="shared" si="2"/>
        <v>Bio_2025_9</v>
      </c>
      <c r="F149" s="25" t="s">
        <v>424</v>
      </c>
      <c r="G149" s="42" t="s">
        <v>26</v>
      </c>
    </row>
    <row r="150" ht="62.4" spans="1:7">
      <c r="A150" s="21" t="s">
        <v>425</v>
      </c>
      <c r="B150" s="21" t="s">
        <v>69</v>
      </c>
      <c r="C150" s="21">
        <v>2025</v>
      </c>
      <c r="D150" s="25" t="s">
        <v>426</v>
      </c>
      <c r="E150" s="21" t="str">
        <f t="shared" si="2"/>
        <v>Bio_2025_10</v>
      </c>
      <c r="F150" s="25" t="s">
        <v>427</v>
      </c>
      <c r="G150" s="42" t="s">
        <v>11</v>
      </c>
    </row>
    <row r="151" ht="124.8" spans="1:7">
      <c r="A151" s="21" t="s">
        <v>428</v>
      </c>
      <c r="B151" s="21" t="s">
        <v>69</v>
      </c>
      <c r="C151" s="21">
        <v>2025</v>
      </c>
      <c r="D151" s="25" t="s">
        <v>429</v>
      </c>
      <c r="E151" s="21" t="str">
        <f t="shared" si="2"/>
        <v>Bio_2025_11</v>
      </c>
      <c r="F151" s="25" t="s">
        <v>430</v>
      </c>
      <c r="G151" s="42" t="s">
        <v>26</v>
      </c>
    </row>
    <row r="152" ht="78" spans="1:7">
      <c r="A152" s="21" t="s">
        <v>431</v>
      </c>
      <c r="B152" s="21" t="s">
        <v>69</v>
      </c>
      <c r="C152" s="21">
        <v>2025</v>
      </c>
      <c r="D152" s="25" t="s">
        <v>432</v>
      </c>
      <c r="E152" s="21" t="str">
        <f t="shared" si="2"/>
        <v>Bio_2025_12</v>
      </c>
      <c r="F152" s="25" t="s">
        <v>433</v>
      </c>
      <c r="G152" s="42" t="s">
        <v>26</v>
      </c>
    </row>
    <row r="153" ht="62.4" spans="1:7">
      <c r="A153" s="21" t="s">
        <v>434</v>
      </c>
      <c r="B153" s="21" t="s">
        <v>69</v>
      </c>
      <c r="C153" s="21">
        <v>2025</v>
      </c>
      <c r="D153" s="25" t="s">
        <v>435</v>
      </c>
      <c r="E153" s="21" t="str">
        <f t="shared" si="2"/>
        <v>Bio_2025_13</v>
      </c>
      <c r="F153" s="25" t="s">
        <v>436</v>
      </c>
      <c r="G153" s="42" t="s">
        <v>17</v>
      </c>
    </row>
    <row r="154" ht="140.4" spans="1:7">
      <c r="A154" s="21" t="s">
        <v>437</v>
      </c>
      <c r="B154" s="21" t="s">
        <v>69</v>
      </c>
      <c r="C154" s="21">
        <v>2025</v>
      </c>
      <c r="D154" s="25" t="s">
        <v>438</v>
      </c>
      <c r="E154" s="21" t="str">
        <f t="shared" si="2"/>
        <v>Bio_2025_14</v>
      </c>
      <c r="F154" s="25" t="s">
        <v>439</v>
      </c>
      <c r="G154" s="42" t="s">
        <v>26</v>
      </c>
    </row>
    <row r="155" ht="93.6" spans="1:7">
      <c r="A155" s="21" t="s">
        <v>440</v>
      </c>
      <c r="B155" s="21" t="s">
        <v>69</v>
      </c>
      <c r="C155" s="21">
        <v>2025</v>
      </c>
      <c r="D155" s="25" t="s">
        <v>441</v>
      </c>
      <c r="E155" s="21" t="str">
        <f t="shared" si="2"/>
        <v>Bio_2025_15</v>
      </c>
      <c r="F155" s="25" t="s">
        <v>442</v>
      </c>
      <c r="G155" s="42" t="s">
        <v>30</v>
      </c>
    </row>
    <row r="156" ht="124.8" spans="1:7">
      <c r="A156" s="21" t="s">
        <v>443</v>
      </c>
      <c r="B156" s="21" t="s">
        <v>69</v>
      </c>
      <c r="C156" s="21">
        <v>2025</v>
      </c>
      <c r="D156" s="25" t="s">
        <v>444</v>
      </c>
      <c r="E156" s="21" t="str">
        <f t="shared" si="2"/>
        <v>Bio_2025_16</v>
      </c>
      <c r="F156" s="25" t="s">
        <v>445</v>
      </c>
      <c r="G156" s="42" t="s">
        <v>26</v>
      </c>
    </row>
    <row r="157" ht="46.8" spans="1:7">
      <c r="A157" s="21" t="s">
        <v>446</v>
      </c>
      <c r="B157" s="21" t="s">
        <v>135</v>
      </c>
      <c r="C157" s="21">
        <v>2023</v>
      </c>
      <c r="D157" s="25" t="s">
        <v>447</v>
      </c>
      <c r="E157" s="21" t="s">
        <v>448</v>
      </c>
      <c r="F157" s="21" t="s">
        <v>448</v>
      </c>
      <c r="G157" s="55">
        <v>-2</v>
      </c>
    </row>
    <row r="158" ht="46.8" spans="1:7">
      <c r="A158" s="21" t="s">
        <v>449</v>
      </c>
      <c r="B158" s="21" t="s">
        <v>135</v>
      </c>
      <c r="C158" s="21">
        <v>2023</v>
      </c>
      <c r="D158" s="25" t="s">
        <v>450</v>
      </c>
      <c r="E158" s="21" t="s">
        <v>448</v>
      </c>
      <c r="F158" s="21" t="s">
        <v>448</v>
      </c>
      <c r="G158" s="55" t="s">
        <v>451</v>
      </c>
    </row>
    <row r="159" spans="1:7">
      <c r="A159" s="21" t="s">
        <v>452</v>
      </c>
      <c r="B159" s="21" t="s">
        <v>135</v>
      </c>
      <c r="C159" s="21">
        <v>2023</v>
      </c>
      <c r="D159" s="21" t="s">
        <v>453</v>
      </c>
      <c r="E159" s="21" t="s">
        <v>448</v>
      </c>
      <c r="F159" s="21" t="s">
        <v>448</v>
      </c>
      <c r="G159" s="44" t="s">
        <v>454</v>
      </c>
    </row>
    <row r="160" ht="46.8" spans="1:7">
      <c r="A160" s="21" t="s">
        <v>455</v>
      </c>
      <c r="B160" s="21" t="s">
        <v>135</v>
      </c>
      <c r="C160" s="21">
        <v>2023</v>
      </c>
      <c r="D160" s="25" t="s">
        <v>456</v>
      </c>
      <c r="E160" s="21" t="s">
        <v>448</v>
      </c>
      <c r="F160" s="21" t="s">
        <v>448</v>
      </c>
      <c r="G160" s="55" t="s">
        <v>457</v>
      </c>
    </row>
    <row r="161" ht="46.8" spans="1:7">
      <c r="A161" s="21" t="s">
        <v>458</v>
      </c>
      <c r="B161" s="21" t="s">
        <v>135</v>
      </c>
      <c r="C161" s="21">
        <v>2023</v>
      </c>
      <c r="D161" s="25" t="s">
        <v>459</v>
      </c>
      <c r="E161" s="21" t="s">
        <v>448</v>
      </c>
      <c r="F161" s="21" t="s">
        <v>448</v>
      </c>
      <c r="G161" s="44" t="s">
        <v>460</v>
      </c>
    </row>
    <row r="162" spans="1:7">
      <c r="A162" s="21" t="s">
        <v>461</v>
      </c>
      <c r="B162" s="21" t="s">
        <v>135</v>
      </c>
      <c r="C162" s="21">
        <v>2023</v>
      </c>
      <c r="D162" s="21" t="s">
        <v>462</v>
      </c>
      <c r="E162" s="21" t="s">
        <v>448</v>
      </c>
      <c r="F162" s="21" t="s">
        <v>448</v>
      </c>
      <c r="G162" s="55" t="s">
        <v>463</v>
      </c>
    </row>
    <row r="163" ht="46.8" spans="1:7">
      <c r="A163" s="21" t="s">
        <v>464</v>
      </c>
      <c r="B163" s="21" t="s">
        <v>135</v>
      </c>
      <c r="C163" s="21">
        <v>2023</v>
      </c>
      <c r="D163" s="25" t="s">
        <v>465</v>
      </c>
      <c r="E163" s="21" t="s">
        <v>448</v>
      </c>
      <c r="F163" s="21" t="s">
        <v>448</v>
      </c>
      <c r="G163" s="42" t="s">
        <v>466</v>
      </c>
    </row>
    <row r="164" ht="46.8" spans="1:7">
      <c r="A164" s="21" t="s">
        <v>467</v>
      </c>
      <c r="B164" s="21" t="s">
        <v>135</v>
      </c>
      <c r="C164" s="21">
        <v>2023</v>
      </c>
      <c r="D164" s="25" t="s">
        <v>468</v>
      </c>
      <c r="E164" s="21" t="s">
        <v>448</v>
      </c>
      <c r="F164" s="21" t="s">
        <v>448</v>
      </c>
      <c r="G164" s="55" t="s">
        <v>469</v>
      </c>
    </row>
    <row r="165" ht="62.4" spans="1:7">
      <c r="A165" s="21" t="s">
        <v>470</v>
      </c>
      <c r="B165" s="21" t="s">
        <v>135</v>
      </c>
      <c r="C165" s="21">
        <v>2023</v>
      </c>
      <c r="D165" s="25" t="s">
        <v>471</v>
      </c>
      <c r="E165" s="21" t="s">
        <v>448</v>
      </c>
      <c r="F165" s="21" t="s">
        <v>448</v>
      </c>
      <c r="G165" s="55" t="s">
        <v>472</v>
      </c>
    </row>
    <row r="166" ht="46.8" spans="1:7">
      <c r="A166" s="21" t="s">
        <v>473</v>
      </c>
      <c r="B166" s="21" t="s">
        <v>135</v>
      </c>
      <c r="C166" s="21">
        <v>2023</v>
      </c>
      <c r="D166" s="25" t="s">
        <v>474</v>
      </c>
      <c r="E166" s="21" t="s">
        <v>448</v>
      </c>
      <c r="F166" s="21" t="s">
        <v>448</v>
      </c>
      <c r="G166" s="42" t="s">
        <v>475</v>
      </c>
    </row>
    <row r="167" ht="31.2" spans="1:7">
      <c r="A167" s="21" t="s">
        <v>476</v>
      </c>
      <c r="B167" s="21" t="s">
        <v>135</v>
      </c>
      <c r="C167" s="21">
        <v>2023</v>
      </c>
      <c r="D167" s="25" t="s">
        <v>477</v>
      </c>
      <c r="E167" s="21" t="s">
        <v>448</v>
      </c>
      <c r="F167" s="21" t="s">
        <v>448</v>
      </c>
      <c r="G167" s="55">
        <v>-2</v>
      </c>
    </row>
    <row r="168" ht="46.8" spans="1:7">
      <c r="A168" s="21" t="s">
        <v>478</v>
      </c>
      <c r="B168" s="21" t="s">
        <v>135</v>
      </c>
      <c r="C168" s="21">
        <v>2023</v>
      </c>
      <c r="D168" s="25" t="s">
        <v>479</v>
      </c>
      <c r="E168" s="21" t="s">
        <v>448</v>
      </c>
      <c r="F168" s="21" t="s">
        <v>448</v>
      </c>
      <c r="G168" s="55" t="s">
        <v>480</v>
      </c>
    </row>
    <row r="169" ht="31.2" spans="1:7">
      <c r="A169" s="21" t="s">
        <v>481</v>
      </c>
      <c r="B169" s="21" t="s">
        <v>135</v>
      </c>
      <c r="C169" s="21">
        <v>2023</v>
      </c>
      <c r="D169" s="25" t="s">
        <v>482</v>
      </c>
      <c r="E169" s="21" t="s">
        <v>448</v>
      </c>
      <c r="F169" s="21" t="s">
        <v>448</v>
      </c>
      <c r="G169" s="55" t="s">
        <v>483</v>
      </c>
    </row>
    <row r="170" ht="93.6" spans="1:7">
      <c r="A170" s="21" t="s">
        <v>484</v>
      </c>
      <c r="B170" s="21" t="s">
        <v>135</v>
      </c>
      <c r="C170" s="21">
        <v>2023</v>
      </c>
      <c r="D170" s="25" t="s">
        <v>485</v>
      </c>
      <c r="E170" s="21" t="s">
        <v>448</v>
      </c>
      <c r="F170" s="21" t="s">
        <v>448</v>
      </c>
      <c r="G170" s="55">
        <v>504</v>
      </c>
    </row>
    <row r="171" ht="93.6" spans="1:7">
      <c r="A171" s="21" t="s">
        <v>486</v>
      </c>
      <c r="B171" s="21" t="s">
        <v>135</v>
      </c>
      <c r="C171" s="21">
        <v>2023</v>
      </c>
      <c r="D171" s="25" t="s">
        <v>487</v>
      </c>
      <c r="E171" s="21" t="s">
        <v>448</v>
      </c>
      <c r="F171" s="21" t="s">
        <v>448</v>
      </c>
      <c r="G171" s="55" t="s">
        <v>488</v>
      </c>
    </row>
    <row r="172" ht="109.2" spans="1:7">
      <c r="A172" s="21" t="s">
        <v>489</v>
      </c>
      <c r="B172" s="21" t="s">
        <v>135</v>
      </c>
      <c r="C172" s="21">
        <v>2023</v>
      </c>
      <c r="D172" s="25" t="s">
        <v>490</v>
      </c>
      <c r="E172" s="21" t="s">
        <v>448</v>
      </c>
      <c r="F172" s="21" t="s">
        <v>448</v>
      </c>
      <c r="G172" s="55" t="s">
        <v>491</v>
      </c>
    </row>
    <row r="173" ht="46.8" spans="1:7">
      <c r="A173" s="21" t="s">
        <v>492</v>
      </c>
      <c r="B173" s="21" t="s">
        <v>135</v>
      </c>
      <c r="C173" s="21">
        <v>2023</v>
      </c>
      <c r="D173" s="25" t="s">
        <v>493</v>
      </c>
      <c r="E173" s="21" t="s">
        <v>448</v>
      </c>
      <c r="F173" s="21" t="s">
        <v>448</v>
      </c>
      <c r="G173" s="55">
        <v>6298.56</v>
      </c>
    </row>
    <row r="174" ht="78" spans="1:7">
      <c r="A174" s="21" t="s">
        <v>494</v>
      </c>
      <c r="B174" s="21" t="s">
        <v>135</v>
      </c>
      <c r="C174" s="21">
        <v>2023</v>
      </c>
      <c r="D174" s="25" t="s">
        <v>495</v>
      </c>
      <c r="E174" s="21" t="s">
        <v>448</v>
      </c>
      <c r="F174" s="21" t="s">
        <v>448</v>
      </c>
      <c r="G174" s="55" t="s">
        <v>496</v>
      </c>
    </row>
    <row r="175" ht="109.2" spans="1:7">
      <c r="A175" s="21" t="s">
        <v>497</v>
      </c>
      <c r="B175" s="21" t="s">
        <v>135</v>
      </c>
      <c r="C175" s="21">
        <v>2023</v>
      </c>
      <c r="D175" s="25" t="s">
        <v>498</v>
      </c>
      <c r="E175" s="21" t="s">
        <v>448</v>
      </c>
      <c r="F175" s="21" t="s">
        <v>448</v>
      </c>
      <c r="G175" s="55" t="s">
        <v>499</v>
      </c>
    </row>
    <row r="176" ht="140.4" spans="1:7">
      <c r="A176" s="21" t="s">
        <v>500</v>
      </c>
      <c r="B176" s="21" t="s">
        <v>135</v>
      </c>
      <c r="C176" s="21">
        <v>2023</v>
      </c>
      <c r="D176" s="25" t="s">
        <v>501</v>
      </c>
      <c r="E176" s="21" t="s">
        <v>448</v>
      </c>
      <c r="F176" s="21" t="s">
        <v>448</v>
      </c>
      <c r="G176" s="55">
        <v>4</v>
      </c>
    </row>
    <row r="177" ht="46.8" spans="1:7">
      <c r="A177" s="21" t="s">
        <v>502</v>
      </c>
      <c r="B177" s="21" t="s">
        <v>135</v>
      </c>
      <c r="C177" s="21">
        <v>2023</v>
      </c>
      <c r="D177" s="25" t="s">
        <v>503</v>
      </c>
      <c r="E177" s="21" t="s">
        <v>448</v>
      </c>
      <c r="F177" s="21" t="s">
        <v>448</v>
      </c>
      <c r="G177" s="55" t="s">
        <v>504</v>
      </c>
    </row>
    <row r="178" ht="62.4" spans="1:7">
      <c r="A178" s="21" t="s">
        <v>505</v>
      </c>
      <c r="B178" s="21" t="s">
        <v>135</v>
      </c>
      <c r="C178" s="21">
        <v>2023</v>
      </c>
      <c r="D178" s="25" t="s">
        <v>506</v>
      </c>
      <c r="E178" s="21" t="s">
        <v>448</v>
      </c>
      <c r="F178" s="21" t="s">
        <v>448</v>
      </c>
      <c r="G178" s="55" t="s">
        <v>507</v>
      </c>
    </row>
    <row r="179" ht="62.4" spans="1:7">
      <c r="A179" s="21" t="s">
        <v>508</v>
      </c>
      <c r="B179" s="21" t="s">
        <v>135</v>
      </c>
      <c r="C179" s="21">
        <v>2023</v>
      </c>
      <c r="D179" s="25" t="s">
        <v>509</v>
      </c>
      <c r="E179" s="21" t="s">
        <v>448</v>
      </c>
      <c r="F179" s="21" t="s">
        <v>448</v>
      </c>
      <c r="G179" s="55" t="s">
        <v>510</v>
      </c>
    </row>
    <row r="180" ht="46.8" spans="1:7">
      <c r="A180" s="21" t="s">
        <v>511</v>
      </c>
      <c r="B180" s="21" t="s">
        <v>135</v>
      </c>
      <c r="C180" s="21">
        <v>2023</v>
      </c>
      <c r="D180" s="25" t="s">
        <v>512</v>
      </c>
      <c r="E180" s="21" t="s">
        <v>448</v>
      </c>
      <c r="F180" s="21" t="s">
        <v>448</v>
      </c>
      <c r="G180" s="44" t="s">
        <v>513</v>
      </c>
    </row>
    <row r="181" ht="31.2" spans="1:7">
      <c r="A181" s="21" t="s">
        <v>514</v>
      </c>
      <c r="B181" s="21" t="s">
        <v>135</v>
      </c>
      <c r="C181" s="21">
        <v>2023</v>
      </c>
      <c r="D181" s="25" t="s">
        <v>515</v>
      </c>
      <c r="E181" s="21" t="s">
        <v>448</v>
      </c>
      <c r="F181" s="21" t="s">
        <v>448</v>
      </c>
      <c r="G181" s="44" t="s">
        <v>516</v>
      </c>
    </row>
    <row r="182" ht="46.8" spans="1:7">
      <c r="A182" s="21" t="s">
        <v>517</v>
      </c>
      <c r="B182" s="21" t="s">
        <v>135</v>
      </c>
      <c r="C182" s="21">
        <v>2023</v>
      </c>
      <c r="D182" s="25" t="s">
        <v>518</v>
      </c>
      <c r="E182" s="21" t="s">
        <v>448</v>
      </c>
      <c r="F182" s="21" t="s">
        <v>448</v>
      </c>
      <c r="G182" s="55" t="s">
        <v>519</v>
      </c>
    </row>
    <row r="183" ht="31.2" spans="1:7">
      <c r="A183" s="21" t="s">
        <v>520</v>
      </c>
      <c r="B183" s="21" t="s">
        <v>135</v>
      </c>
      <c r="C183" s="21">
        <v>2023</v>
      </c>
      <c r="D183" s="25" t="s">
        <v>521</v>
      </c>
      <c r="E183" s="21" t="s">
        <v>448</v>
      </c>
      <c r="F183" s="21" t="s">
        <v>448</v>
      </c>
      <c r="G183" s="44" t="s">
        <v>522</v>
      </c>
    </row>
    <row r="184" ht="31.2" spans="1:7">
      <c r="A184" s="21" t="s">
        <v>523</v>
      </c>
      <c r="B184" s="21" t="s">
        <v>135</v>
      </c>
      <c r="C184" s="21">
        <v>2023</v>
      </c>
      <c r="D184" s="25" t="s">
        <v>524</v>
      </c>
      <c r="E184" s="21" t="s">
        <v>448</v>
      </c>
      <c r="F184" s="21" t="s">
        <v>448</v>
      </c>
      <c r="G184" s="55">
        <v>22</v>
      </c>
    </row>
    <row r="185" ht="31.2" spans="1:7">
      <c r="A185" s="21" t="s">
        <v>525</v>
      </c>
      <c r="B185" s="21" t="s">
        <v>135</v>
      </c>
      <c r="C185" s="21">
        <v>2023</v>
      </c>
      <c r="D185" s="25" t="s">
        <v>526</v>
      </c>
      <c r="E185" s="21" t="s">
        <v>448</v>
      </c>
      <c r="F185" s="21" t="s">
        <v>448</v>
      </c>
      <c r="G185" s="55" t="s">
        <v>527</v>
      </c>
    </row>
    <row r="186" ht="62.4" spans="1:7">
      <c r="A186" s="21" t="s">
        <v>528</v>
      </c>
      <c r="B186" s="21" t="s">
        <v>135</v>
      </c>
      <c r="C186" s="21">
        <v>2023</v>
      </c>
      <c r="D186" s="25" t="s">
        <v>529</v>
      </c>
      <c r="E186" s="21" t="s">
        <v>448</v>
      </c>
      <c r="F186" s="21" t="s">
        <v>448</v>
      </c>
      <c r="G186" s="55" t="s">
        <v>530</v>
      </c>
    </row>
    <row r="187" ht="46.8" spans="1:7">
      <c r="A187" s="21" t="s">
        <v>531</v>
      </c>
      <c r="B187" s="21" t="s">
        <v>135</v>
      </c>
      <c r="C187" s="21">
        <v>2023</v>
      </c>
      <c r="D187" s="25" t="s">
        <v>532</v>
      </c>
      <c r="E187" s="21" t="s">
        <v>448</v>
      </c>
      <c r="F187" s="21" t="s">
        <v>448</v>
      </c>
      <c r="G187" s="44" t="s">
        <v>533</v>
      </c>
    </row>
    <row r="188" ht="46.8" spans="1:7">
      <c r="A188" s="21" t="s">
        <v>534</v>
      </c>
      <c r="B188" s="21" t="s">
        <v>135</v>
      </c>
      <c r="C188" s="21">
        <v>2024</v>
      </c>
      <c r="D188" s="25" t="s">
        <v>535</v>
      </c>
      <c r="E188" s="21" t="s">
        <v>448</v>
      </c>
      <c r="F188" s="21" t="s">
        <v>448</v>
      </c>
      <c r="G188" s="44" t="s">
        <v>536</v>
      </c>
    </row>
    <row r="189" ht="46.8" spans="1:7">
      <c r="A189" s="21" t="s">
        <v>537</v>
      </c>
      <c r="B189" s="21" t="s">
        <v>135</v>
      </c>
      <c r="C189" s="21">
        <v>2024</v>
      </c>
      <c r="D189" s="25" t="s">
        <v>538</v>
      </c>
      <c r="E189" s="21" t="s">
        <v>448</v>
      </c>
      <c r="F189" s="21" t="s">
        <v>448</v>
      </c>
      <c r="G189" s="44" t="s">
        <v>539</v>
      </c>
    </row>
    <row r="190" ht="46.8" spans="1:7">
      <c r="A190" s="21" t="s">
        <v>540</v>
      </c>
      <c r="B190" s="21" t="s">
        <v>135</v>
      </c>
      <c r="C190" s="21">
        <v>2024</v>
      </c>
      <c r="D190" s="25" t="s">
        <v>541</v>
      </c>
      <c r="E190" s="21" t="s">
        <v>448</v>
      </c>
      <c r="F190" s="21" t="s">
        <v>448</v>
      </c>
      <c r="G190" s="55" t="s">
        <v>542</v>
      </c>
    </row>
    <row r="191" ht="31.2" spans="1:7">
      <c r="A191" s="21" t="s">
        <v>543</v>
      </c>
      <c r="B191" s="21" t="s">
        <v>135</v>
      </c>
      <c r="C191" s="21">
        <v>2024</v>
      </c>
      <c r="D191" s="25" t="s">
        <v>544</v>
      </c>
      <c r="E191" s="21" t="s">
        <v>448</v>
      </c>
      <c r="F191" s="21" t="s">
        <v>448</v>
      </c>
      <c r="G191" s="44" t="s">
        <v>545</v>
      </c>
    </row>
    <row r="192" ht="31.2" spans="1:7">
      <c r="A192" s="21" t="s">
        <v>546</v>
      </c>
      <c r="B192" s="21" t="s">
        <v>135</v>
      </c>
      <c r="C192" s="21">
        <v>2024</v>
      </c>
      <c r="D192" s="25" t="s">
        <v>547</v>
      </c>
      <c r="E192" s="21" t="s">
        <v>448</v>
      </c>
      <c r="F192" s="21" t="s">
        <v>448</v>
      </c>
      <c r="G192" s="55" t="s">
        <v>548</v>
      </c>
    </row>
    <row r="193" ht="31.2" spans="1:7">
      <c r="A193" s="21" t="s">
        <v>549</v>
      </c>
      <c r="B193" s="21" t="s">
        <v>135</v>
      </c>
      <c r="C193" s="21">
        <v>2024</v>
      </c>
      <c r="D193" s="25" t="s">
        <v>550</v>
      </c>
      <c r="E193" s="21" t="s">
        <v>448</v>
      </c>
      <c r="F193" s="21" t="s">
        <v>448</v>
      </c>
      <c r="G193" s="44" t="s">
        <v>551</v>
      </c>
    </row>
    <row r="194" ht="46.8" spans="1:7">
      <c r="A194" s="21" t="s">
        <v>552</v>
      </c>
      <c r="B194" s="21" t="s">
        <v>135</v>
      </c>
      <c r="C194" s="21">
        <v>2024</v>
      </c>
      <c r="D194" s="25" t="s">
        <v>553</v>
      </c>
      <c r="E194" s="21" t="s">
        <v>448</v>
      </c>
      <c r="F194" s="21" t="s">
        <v>448</v>
      </c>
      <c r="G194" s="42" t="s">
        <v>554</v>
      </c>
    </row>
    <row r="195" spans="1:7">
      <c r="A195" s="21" t="s">
        <v>555</v>
      </c>
      <c r="B195" s="21" t="s">
        <v>135</v>
      </c>
      <c r="C195" s="21">
        <v>2024</v>
      </c>
      <c r="D195" s="25" t="s">
        <v>556</v>
      </c>
      <c r="E195" s="21" t="s">
        <v>448</v>
      </c>
      <c r="F195" s="21" t="s">
        <v>448</v>
      </c>
      <c r="G195" s="55">
        <v>8</v>
      </c>
    </row>
    <row r="196" ht="46.8" spans="1:7">
      <c r="A196" s="21" t="s">
        <v>557</v>
      </c>
      <c r="B196" s="21" t="s">
        <v>135</v>
      </c>
      <c r="C196" s="21">
        <v>2024</v>
      </c>
      <c r="D196" s="25" t="s">
        <v>558</v>
      </c>
      <c r="E196" s="21" t="s">
        <v>448</v>
      </c>
      <c r="F196" s="21" t="s">
        <v>448</v>
      </c>
      <c r="G196" s="44" t="s">
        <v>559</v>
      </c>
    </row>
    <row r="197" ht="62.4" spans="1:7">
      <c r="A197" s="21" t="s">
        <v>560</v>
      </c>
      <c r="B197" s="21" t="s">
        <v>135</v>
      </c>
      <c r="C197" s="21">
        <v>2024</v>
      </c>
      <c r="D197" s="25" t="s">
        <v>561</v>
      </c>
      <c r="E197" s="21" t="s">
        <v>448</v>
      </c>
      <c r="F197" s="21" t="s">
        <v>448</v>
      </c>
      <c r="G197" s="42" t="s">
        <v>562</v>
      </c>
    </row>
    <row r="198" ht="31.2" spans="1:7">
      <c r="A198" s="21" t="s">
        <v>563</v>
      </c>
      <c r="B198" s="21" t="s">
        <v>135</v>
      </c>
      <c r="C198" s="21">
        <v>2024</v>
      </c>
      <c r="D198" s="25" t="s">
        <v>564</v>
      </c>
      <c r="E198" s="21" t="s">
        <v>448</v>
      </c>
      <c r="F198" s="21" t="s">
        <v>448</v>
      </c>
      <c r="G198" s="42" t="s">
        <v>565</v>
      </c>
    </row>
    <row r="199" ht="31.2" spans="1:7">
      <c r="A199" s="21" t="s">
        <v>566</v>
      </c>
      <c r="B199" s="21" t="s">
        <v>135</v>
      </c>
      <c r="C199" s="21">
        <v>2024</v>
      </c>
      <c r="D199" s="25" t="s">
        <v>567</v>
      </c>
      <c r="E199" s="21" t="s">
        <v>448</v>
      </c>
      <c r="F199" s="21" t="s">
        <v>448</v>
      </c>
      <c r="G199" s="55">
        <v>6</v>
      </c>
    </row>
    <row r="200" spans="1:7">
      <c r="A200" s="21" t="s">
        <v>568</v>
      </c>
      <c r="B200" s="21" t="s">
        <v>135</v>
      </c>
      <c r="C200" s="21">
        <v>2024</v>
      </c>
      <c r="D200" s="21" t="s">
        <v>569</v>
      </c>
      <c r="E200" s="21" t="s">
        <v>448</v>
      </c>
      <c r="F200" s="21" t="s">
        <v>448</v>
      </c>
      <c r="G200" s="44" t="s">
        <v>570</v>
      </c>
    </row>
    <row r="201" ht="31.2" spans="1:7">
      <c r="A201" s="21" t="s">
        <v>571</v>
      </c>
      <c r="B201" s="21" t="s">
        <v>135</v>
      </c>
      <c r="C201" s="21">
        <v>2024</v>
      </c>
      <c r="D201" s="25" t="s">
        <v>572</v>
      </c>
      <c r="E201" s="21" t="s">
        <v>448</v>
      </c>
      <c r="F201" s="21" t="s">
        <v>448</v>
      </c>
      <c r="G201" s="42" t="s">
        <v>573</v>
      </c>
    </row>
    <row r="202" spans="1:7">
      <c r="A202" s="21" t="s">
        <v>574</v>
      </c>
      <c r="B202" s="21" t="s">
        <v>135</v>
      </c>
      <c r="C202" s="21">
        <v>2024</v>
      </c>
      <c r="D202" s="21" t="s">
        <v>575</v>
      </c>
      <c r="E202" s="21" t="s">
        <v>448</v>
      </c>
      <c r="F202" s="21" t="s">
        <v>448</v>
      </c>
      <c r="G202" s="42" t="s">
        <v>576</v>
      </c>
    </row>
    <row r="203" ht="62.4" spans="1:7">
      <c r="A203" s="21" t="s">
        <v>577</v>
      </c>
      <c r="B203" s="21" t="s">
        <v>135</v>
      </c>
      <c r="C203" s="21">
        <v>2024</v>
      </c>
      <c r="D203" s="25" t="s">
        <v>578</v>
      </c>
      <c r="E203" s="21" t="s">
        <v>448</v>
      </c>
      <c r="F203" s="21" t="s">
        <v>448</v>
      </c>
      <c r="G203" s="55" t="s">
        <v>579</v>
      </c>
    </row>
    <row r="204" ht="31.2" spans="1:7">
      <c r="A204" s="21" t="s">
        <v>580</v>
      </c>
      <c r="B204" s="21" t="s">
        <v>135</v>
      </c>
      <c r="C204" s="21">
        <v>2024</v>
      </c>
      <c r="D204" s="25" t="s">
        <v>581</v>
      </c>
      <c r="E204" s="21" t="s">
        <v>448</v>
      </c>
      <c r="F204" s="21" t="s">
        <v>448</v>
      </c>
      <c r="G204" s="42" t="s">
        <v>582</v>
      </c>
    </row>
    <row r="205" ht="31.2" spans="1:7">
      <c r="A205" s="21" t="s">
        <v>583</v>
      </c>
      <c r="B205" s="21" t="s">
        <v>135</v>
      </c>
      <c r="C205" s="21">
        <v>2024</v>
      </c>
      <c r="D205" s="25" t="s">
        <v>584</v>
      </c>
      <c r="E205" s="21" t="s">
        <v>448</v>
      </c>
      <c r="F205" s="21" t="s">
        <v>448</v>
      </c>
      <c r="G205" s="42" t="s">
        <v>585</v>
      </c>
    </row>
    <row r="206" ht="46.8" spans="1:7">
      <c r="A206" s="21" t="s">
        <v>586</v>
      </c>
      <c r="B206" s="21" t="s">
        <v>135</v>
      </c>
      <c r="C206" s="21">
        <v>2024</v>
      </c>
      <c r="D206" s="25" t="s">
        <v>587</v>
      </c>
      <c r="E206" s="21" t="s">
        <v>448</v>
      </c>
      <c r="F206" s="21" t="s">
        <v>448</v>
      </c>
      <c r="G206" s="42" t="s">
        <v>588</v>
      </c>
    </row>
    <row r="207" ht="140.4" spans="1:7">
      <c r="A207" s="21" t="s">
        <v>589</v>
      </c>
      <c r="B207" s="21" t="s">
        <v>135</v>
      </c>
      <c r="C207" s="21">
        <v>2025</v>
      </c>
      <c r="D207" s="25" t="s">
        <v>590</v>
      </c>
      <c r="E207" s="21" t="s">
        <v>448</v>
      </c>
      <c r="F207" s="21" t="s">
        <v>448</v>
      </c>
      <c r="G207" s="42" t="s">
        <v>591</v>
      </c>
    </row>
    <row r="208" ht="93.6" spans="1:7">
      <c r="A208" s="21" t="s">
        <v>592</v>
      </c>
      <c r="B208" s="21" t="s">
        <v>135</v>
      </c>
      <c r="C208" s="21">
        <v>2025</v>
      </c>
      <c r="D208" s="25" t="s">
        <v>593</v>
      </c>
      <c r="E208" s="21" t="s">
        <v>448</v>
      </c>
      <c r="F208" s="21" t="s">
        <v>448</v>
      </c>
      <c r="G208" s="42" t="s">
        <v>582</v>
      </c>
    </row>
    <row r="209" ht="156" spans="1:7">
      <c r="A209" s="21" t="s">
        <v>594</v>
      </c>
      <c r="B209" s="21" t="s">
        <v>135</v>
      </c>
      <c r="C209" s="21">
        <v>2025</v>
      </c>
      <c r="D209" s="25" t="s">
        <v>595</v>
      </c>
      <c r="E209" s="21" t="s">
        <v>448</v>
      </c>
      <c r="F209" s="21" t="s">
        <v>448</v>
      </c>
      <c r="G209" s="21" t="s">
        <v>596</v>
      </c>
    </row>
    <row r="210" ht="156" spans="1:7">
      <c r="A210" s="21" t="s">
        <v>597</v>
      </c>
      <c r="B210" s="21" t="s">
        <v>135</v>
      </c>
      <c r="C210" s="21">
        <v>2025</v>
      </c>
      <c r="D210" s="25" t="s">
        <v>598</v>
      </c>
      <c r="E210" s="21" t="s">
        <v>448</v>
      </c>
      <c r="F210" s="21" t="s">
        <v>448</v>
      </c>
      <c r="G210" s="42" t="s">
        <v>530</v>
      </c>
    </row>
    <row r="211" ht="78" spans="1:7">
      <c r="A211" s="21" t="s">
        <v>599</v>
      </c>
      <c r="B211" s="21" t="s">
        <v>135</v>
      </c>
      <c r="C211" s="21">
        <v>2025</v>
      </c>
      <c r="D211" s="25" t="s">
        <v>600</v>
      </c>
      <c r="E211" s="21" t="s">
        <v>448</v>
      </c>
      <c r="F211" s="21" t="s">
        <v>448</v>
      </c>
      <c r="G211" s="42" t="s">
        <v>601</v>
      </c>
    </row>
    <row r="212" ht="31.2" spans="1:7">
      <c r="A212" s="21" t="s">
        <v>602</v>
      </c>
      <c r="B212" s="21" t="s">
        <v>135</v>
      </c>
      <c r="C212" s="21">
        <v>2025</v>
      </c>
      <c r="D212" s="25" t="s">
        <v>603</v>
      </c>
      <c r="E212" s="21" t="s">
        <v>448</v>
      </c>
      <c r="F212" s="21" t="s">
        <v>448</v>
      </c>
      <c r="G212" s="42" t="s">
        <v>582</v>
      </c>
    </row>
    <row r="213" ht="46.8" spans="1:7">
      <c r="A213" s="21" t="s">
        <v>604</v>
      </c>
      <c r="B213" s="21" t="s">
        <v>135</v>
      </c>
      <c r="C213" s="21">
        <v>2025</v>
      </c>
      <c r="D213" s="25" t="s">
        <v>605</v>
      </c>
      <c r="E213" s="21" t="s">
        <v>448</v>
      </c>
      <c r="F213" s="21" t="s">
        <v>448</v>
      </c>
      <c r="G213" s="42" t="s">
        <v>606</v>
      </c>
    </row>
    <row r="214" ht="78" spans="1:7">
      <c r="A214" s="21" t="s">
        <v>607</v>
      </c>
      <c r="B214" s="21" t="s">
        <v>135</v>
      </c>
      <c r="C214" s="21">
        <v>2025</v>
      </c>
      <c r="D214" s="25" t="s">
        <v>608</v>
      </c>
      <c r="E214" s="21" t="s">
        <v>448</v>
      </c>
      <c r="F214" s="21" t="s">
        <v>448</v>
      </c>
      <c r="G214" s="42" t="s">
        <v>609</v>
      </c>
    </row>
    <row r="215" ht="62.4" spans="1:7">
      <c r="A215" s="21" t="s">
        <v>610</v>
      </c>
      <c r="B215" s="21" t="s">
        <v>135</v>
      </c>
      <c r="C215" s="21">
        <v>2025</v>
      </c>
      <c r="D215" s="25" t="s">
        <v>611</v>
      </c>
      <c r="E215" s="21" t="s">
        <v>448</v>
      </c>
      <c r="F215" s="21" t="s">
        <v>448</v>
      </c>
      <c r="G215" s="55" t="s">
        <v>612</v>
      </c>
    </row>
    <row r="216" ht="62.4" spans="1:7">
      <c r="A216" s="21" t="s">
        <v>613</v>
      </c>
      <c r="B216" s="21" t="s">
        <v>135</v>
      </c>
      <c r="C216" s="21">
        <v>2025</v>
      </c>
      <c r="D216" s="25" t="s">
        <v>614</v>
      </c>
      <c r="E216" s="21" t="s">
        <v>448</v>
      </c>
      <c r="F216" s="21" t="s">
        <v>448</v>
      </c>
      <c r="G216" s="55" t="s">
        <v>615</v>
      </c>
    </row>
  </sheetData>
  <pageMargins left="0.7" right="0.7" top="0.75" bottom="0.75" header="0.3" footer="0.3"/>
  <pageSetup paperSize="1" orientation="portrait"/>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16"/>
  <sheetViews>
    <sheetView zoomScale="79" zoomScaleNormal="79" workbookViewId="0">
      <selection activeCell="A1" sqref="A$1:G$1048576"/>
    </sheetView>
  </sheetViews>
  <sheetFormatPr defaultColWidth="9" defaultRowHeight="15.6"/>
  <cols>
    <col min="1" max="1" width="17.5555555555556" style="45" customWidth="1"/>
    <col min="2" max="2" width="12.4444444444444" style="45" customWidth="1"/>
    <col min="3" max="3" width="10.2222222222222" style="45" customWidth="1"/>
    <col min="4" max="4" width="15.2222222222222" style="45" customWidth="1"/>
    <col min="5" max="5" width="33.5555555555556" style="45" customWidth="1"/>
    <col min="6" max="6" width="21.8888888888889" style="45" customWidth="1"/>
    <col min="7" max="7" width="10.7777777777778" style="45" customWidth="1"/>
    <col min="8" max="9" width="9" style="45"/>
    <col min="10" max="10" width="14.1111111111111" style="45" customWidth="1"/>
    <col min="11" max="12" width="17.1111111111111" style="45" customWidth="1"/>
    <col min="13" max="14" width="19.6666666666667" style="45" customWidth="1"/>
    <col min="15" max="15" width="15.5555555555556" style="45" customWidth="1"/>
    <col min="16" max="16384" width="9" style="45"/>
  </cols>
  <sheetData>
    <row r="1" spans="1:15">
      <c r="A1" s="45" t="s">
        <v>0</v>
      </c>
      <c r="B1" s="45" t="s">
        <v>1</v>
      </c>
      <c r="C1" s="45" t="s">
        <v>616</v>
      </c>
      <c r="D1" s="45" t="s">
        <v>617</v>
      </c>
      <c r="E1" s="45" t="s">
        <v>618</v>
      </c>
      <c r="F1" s="45" t="s">
        <v>6</v>
      </c>
      <c r="G1" s="45" t="s">
        <v>619</v>
      </c>
    </row>
    <row r="2" spans="1:15">
      <c r="A2" s="46" t="s">
        <v>7</v>
      </c>
      <c r="B2" s="47" t="s">
        <v>8</v>
      </c>
      <c r="C2" s="45" t="s">
        <v>620</v>
      </c>
      <c r="D2" s="45" t="s">
        <v>621</v>
      </c>
      <c r="E2" s="45" t="s">
        <v>17</v>
      </c>
      <c r="F2" s="48" t="s">
        <v>11</v>
      </c>
      <c r="G2" s="45">
        <f t="shared" ref="G2:G65" si="0">IF(E2=F2,1,0)</f>
        <v>0</v>
      </c>
    </row>
    <row r="3" spans="1:15">
      <c r="A3" s="46" t="s">
        <v>12</v>
      </c>
      <c r="B3" s="47" t="s">
        <v>8</v>
      </c>
      <c r="C3" s="45" t="s">
        <v>620</v>
      </c>
      <c r="D3" s="45" t="s">
        <v>621</v>
      </c>
      <c r="E3" s="45" t="s">
        <v>17</v>
      </c>
      <c r="F3" s="48" t="s">
        <v>11</v>
      </c>
      <c r="G3" s="45">
        <f t="shared" si="0"/>
        <v>0</v>
      </c>
    </row>
    <row r="4" spans="1:15">
      <c r="A4" s="46" t="s">
        <v>14</v>
      </c>
      <c r="B4" s="47" t="s">
        <v>8</v>
      </c>
      <c r="C4" s="45" t="s">
        <v>620</v>
      </c>
      <c r="D4" s="45" t="s">
        <v>621</v>
      </c>
      <c r="E4" s="45" t="s">
        <v>17</v>
      </c>
      <c r="F4" s="47" t="s">
        <v>17</v>
      </c>
      <c r="G4" s="45">
        <f t="shared" si="0"/>
        <v>1</v>
      </c>
      <c r="J4" s="31" t="s">
        <v>617</v>
      </c>
      <c r="K4" s="31" t="s">
        <v>622</v>
      </c>
      <c r="L4" s="31" t="s">
        <v>623</v>
      </c>
      <c r="M4" s="31" t="s">
        <v>624</v>
      </c>
      <c r="N4" s="31" t="s">
        <v>625</v>
      </c>
      <c r="O4" s="49"/>
    </row>
    <row r="5" spans="1:15">
      <c r="A5" s="46" t="s">
        <v>18</v>
      </c>
      <c r="B5" s="47" t="s">
        <v>8</v>
      </c>
      <c r="C5" s="45" t="s">
        <v>620</v>
      </c>
      <c r="D5" s="45" t="s">
        <v>621</v>
      </c>
      <c r="E5" s="45" t="s">
        <v>11</v>
      </c>
      <c r="F5" s="47" t="s">
        <v>11</v>
      </c>
      <c r="G5" s="45">
        <f t="shared" si="0"/>
        <v>1</v>
      </c>
      <c r="J5" s="33" t="s">
        <v>621</v>
      </c>
      <c r="K5" s="34">
        <f>COUNTA(D2:D156)</f>
        <v>155</v>
      </c>
      <c r="L5" s="34">
        <f>SUM(G2:G156)</f>
        <v>90</v>
      </c>
      <c r="M5" s="34">
        <f>K5-L5</f>
        <v>65</v>
      </c>
      <c r="N5" s="35">
        <f>L5/K5</f>
        <v>0.580645161290323</v>
      </c>
      <c r="O5" s="49"/>
    </row>
    <row r="6" spans="1:15">
      <c r="A6" s="46" t="s">
        <v>21</v>
      </c>
      <c r="B6" s="47" t="s">
        <v>8</v>
      </c>
      <c r="C6" s="45" t="s">
        <v>620</v>
      </c>
      <c r="D6" s="45" t="s">
        <v>621</v>
      </c>
      <c r="E6" s="45" t="s">
        <v>11</v>
      </c>
      <c r="F6" s="47" t="s">
        <v>11</v>
      </c>
      <c r="G6" s="45">
        <f t="shared" si="0"/>
        <v>1</v>
      </c>
      <c r="J6" s="36" t="s">
        <v>626</v>
      </c>
      <c r="K6" s="34">
        <f>COUNTA(D157:D216)</f>
        <v>60</v>
      </c>
      <c r="L6" s="34">
        <f>SUM(G157:G216)</f>
        <v>51</v>
      </c>
      <c r="M6" s="34">
        <f>K6-L6</f>
        <v>9</v>
      </c>
      <c r="N6" s="35">
        <f>L6/K6</f>
        <v>0.85</v>
      </c>
      <c r="O6" s="49"/>
    </row>
    <row r="7" spans="1:15">
      <c r="A7" s="46" t="s">
        <v>23</v>
      </c>
      <c r="B7" s="47" t="s">
        <v>8</v>
      </c>
      <c r="C7" s="45" t="s">
        <v>620</v>
      </c>
      <c r="D7" s="45" t="s">
        <v>621</v>
      </c>
      <c r="E7" s="45" t="s">
        <v>11</v>
      </c>
      <c r="F7" s="47" t="s">
        <v>26</v>
      </c>
      <c r="G7" s="45">
        <f t="shared" si="0"/>
        <v>0</v>
      </c>
      <c r="J7" s="49"/>
      <c r="K7" s="49"/>
      <c r="L7" s="49"/>
      <c r="M7" s="49"/>
      <c r="N7" s="49"/>
      <c r="O7" s="49"/>
    </row>
    <row r="8" spans="1:15">
      <c r="A8" s="46" t="s">
        <v>27</v>
      </c>
      <c r="B8" s="47" t="s">
        <v>8</v>
      </c>
      <c r="C8" s="45" t="s">
        <v>620</v>
      </c>
      <c r="D8" s="45" t="s">
        <v>621</v>
      </c>
      <c r="E8" s="45" t="s">
        <v>11</v>
      </c>
      <c r="F8" s="48" t="s">
        <v>30</v>
      </c>
      <c r="G8" s="45">
        <f t="shared" si="0"/>
        <v>0</v>
      </c>
      <c r="J8" s="31" t="s">
        <v>627</v>
      </c>
      <c r="K8" s="31" t="s">
        <v>617</v>
      </c>
      <c r="L8" s="31" t="s">
        <v>622</v>
      </c>
      <c r="M8" s="31" t="s">
        <v>623</v>
      </c>
      <c r="N8" s="31" t="s">
        <v>624</v>
      </c>
      <c r="O8" s="31" t="s">
        <v>625</v>
      </c>
    </row>
    <row r="9" spans="1:15">
      <c r="A9" s="46" t="s">
        <v>31</v>
      </c>
      <c r="B9" s="47" t="s">
        <v>8</v>
      </c>
      <c r="C9" s="45" t="s">
        <v>620</v>
      </c>
      <c r="D9" s="45" t="s">
        <v>621</v>
      </c>
      <c r="E9" s="45" t="s">
        <v>30</v>
      </c>
      <c r="F9" s="48" t="s">
        <v>11</v>
      </c>
      <c r="G9" s="45">
        <f t="shared" si="0"/>
        <v>0</v>
      </c>
      <c r="J9" s="32" t="s">
        <v>135</v>
      </c>
      <c r="K9" s="33" t="s">
        <v>621</v>
      </c>
      <c r="L9" s="34">
        <f>COUNTIFS(B:B,"Matemātika",D:D,"LV-orig-image")</f>
        <v>16</v>
      </c>
      <c r="M9" s="34">
        <f>SUMIFS(G:G,B:B,"Matemātika",D:D,"LV-orig-image")</f>
        <v>11</v>
      </c>
      <c r="N9" s="34">
        <f t="shared" ref="N9:N14" si="1">L9-M9</f>
        <v>5</v>
      </c>
      <c r="O9" s="35">
        <f>M9/L9</f>
        <v>0.6875</v>
      </c>
    </row>
    <row r="10" spans="1:15">
      <c r="A10" s="46" t="s">
        <v>33</v>
      </c>
      <c r="B10" s="47" t="s">
        <v>8</v>
      </c>
      <c r="C10" s="45" t="s">
        <v>620</v>
      </c>
      <c r="D10" s="45" t="s">
        <v>621</v>
      </c>
      <c r="E10" s="45" t="s">
        <v>11</v>
      </c>
      <c r="F10" s="48" t="s">
        <v>30</v>
      </c>
      <c r="G10" s="45">
        <f t="shared" si="0"/>
        <v>0</v>
      </c>
      <c r="J10" s="32"/>
      <c r="K10" s="36" t="s">
        <v>626</v>
      </c>
      <c r="L10" s="34">
        <f>COUNTA(D157:D216)</f>
        <v>60</v>
      </c>
      <c r="M10" s="34">
        <f>SUM(G157:G216)</f>
        <v>51</v>
      </c>
      <c r="N10" s="34">
        <f t="shared" si="1"/>
        <v>9</v>
      </c>
      <c r="O10" s="35">
        <f>M10/L10</f>
        <v>0.85</v>
      </c>
    </row>
    <row r="11" spans="1:15">
      <c r="A11" s="46" t="s">
        <v>36</v>
      </c>
      <c r="B11" s="47" t="s">
        <v>8</v>
      </c>
      <c r="C11" s="45" t="s">
        <v>620</v>
      </c>
      <c r="D11" s="45" t="s">
        <v>621</v>
      </c>
      <c r="E11" s="45" t="s">
        <v>26</v>
      </c>
      <c r="F11" s="48" t="s">
        <v>17</v>
      </c>
      <c r="G11" s="45">
        <f t="shared" si="0"/>
        <v>0</v>
      </c>
      <c r="J11" s="32" t="s">
        <v>8</v>
      </c>
      <c r="K11" s="33" t="s">
        <v>621</v>
      </c>
      <c r="L11" s="32">
        <f>COUNTIFS(B:B,"Fizika",D:D,"LV-orig-image")</f>
        <v>38</v>
      </c>
      <c r="M11" s="32">
        <f>SUMIFS(G:G,B:B,"Fizika",D:D,"LV-orig-image")</f>
        <v>21</v>
      </c>
      <c r="N11" s="32">
        <f t="shared" si="1"/>
        <v>17</v>
      </c>
      <c r="O11" s="37">
        <f>M11/L11</f>
        <v>0.552631578947368</v>
      </c>
    </row>
    <row r="12" spans="1:15">
      <c r="A12" s="46" t="s">
        <v>38</v>
      </c>
      <c r="B12" s="47" t="s">
        <v>39</v>
      </c>
      <c r="C12" s="45" t="s">
        <v>620</v>
      </c>
      <c r="D12" s="45" t="s">
        <v>621</v>
      </c>
      <c r="E12" s="45" t="s">
        <v>26</v>
      </c>
      <c r="F12" s="48" t="s">
        <v>26</v>
      </c>
      <c r="G12" s="45">
        <f t="shared" si="0"/>
        <v>1</v>
      </c>
      <c r="J12" s="32" t="s">
        <v>39</v>
      </c>
      <c r="K12" s="33" t="s">
        <v>621</v>
      </c>
      <c r="L12" s="32">
        <f>COUNTIFS(B:B,"Ķīmija",D:D,"LV-orig-image")</f>
        <v>32</v>
      </c>
      <c r="M12" s="32">
        <f>SUMIFS(G:G,B:B,"Ķīmija",D:D,"LV-orig-image")</f>
        <v>20</v>
      </c>
      <c r="N12" s="32">
        <f t="shared" si="1"/>
        <v>12</v>
      </c>
      <c r="O12" s="37">
        <f>M12/L12</f>
        <v>0.625</v>
      </c>
    </row>
    <row r="13" spans="1:15">
      <c r="A13" s="46" t="s">
        <v>42</v>
      </c>
      <c r="B13" s="47" t="s">
        <v>39</v>
      </c>
      <c r="C13" s="45" t="s">
        <v>620</v>
      </c>
      <c r="D13" s="45" t="s">
        <v>621</v>
      </c>
      <c r="E13" s="45" t="s">
        <v>26</v>
      </c>
      <c r="F13" s="48" t="s">
        <v>26</v>
      </c>
      <c r="G13" s="45">
        <f t="shared" si="0"/>
        <v>1</v>
      </c>
      <c r="J13" s="32" t="s">
        <v>69</v>
      </c>
      <c r="K13" s="33" t="s">
        <v>621</v>
      </c>
      <c r="L13" s="32">
        <f>COUNTIFS(B:B,"Bioloģija",D:D,"LV-orig-image")</f>
        <v>49</v>
      </c>
      <c r="M13" s="32">
        <f>SUMIFS(G:G,B:B,"Bioloģija",D:D,"LV-orig-image")</f>
        <v>22</v>
      </c>
      <c r="N13" s="32">
        <f t="shared" si="1"/>
        <v>27</v>
      </c>
      <c r="O13" s="37">
        <f>M13/L13</f>
        <v>0.448979591836735</v>
      </c>
    </row>
    <row r="14" spans="1:15">
      <c r="A14" s="46" t="s">
        <v>44</v>
      </c>
      <c r="B14" s="47" t="s">
        <v>39</v>
      </c>
      <c r="C14" s="45" t="s">
        <v>620</v>
      </c>
      <c r="D14" s="45" t="s">
        <v>621</v>
      </c>
      <c r="E14" s="45" t="s">
        <v>17</v>
      </c>
      <c r="F14" s="48" t="s">
        <v>17</v>
      </c>
      <c r="G14" s="45">
        <f t="shared" si="0"/>
        <v>1</v>
      </c>
      <c r="J14" s="32" t="s">
        <v>113</v>
      </c>
      <c r="K14" s="33" t="s">
        <v>621</v>
      </c>
      <c r="L14" s="32">
        <f>COUNTIFS(B:B,"Ģeogrāfija",D:D,"LV-orig-image")</f>
        <v>20</v>
      </c>
      <c r="M14" s="32">
        <f>SUMIFS(G:G,B:B,"Ģeogrāfija",D:D,"LV-orig-image")</f>
        <v>16</v>
      </c>
      <c r="N14" s="32">
        <f t="shared" si="1"/>
        <v>4</v>
      </c>
      <c r="O14" s="37">
        <f t="shared" ref="O14" si="2">M14/L14</f>
        <v>0.8</v>
      </c>
    </row>
    <row r="15" spans="1:15">
      <c r="A15" s="46" t="s">
        <v>46</v>
      </c>
      <c r="B15" s="47" t="s">
        <v>39</v>
      </c>
      <c r="C15" s="45" t="s">
        <v>620</v>
      </c>
      <c r="D15" s="45" t="s">
        <v>621</v>
      </c>
      <c r="E15" s="45" t="s">
        <v>17</v>
      </c>
      <c r="F15" s="48" t="s">
        <v>17</v>
      </c>
      <c r="G15" s="45">
        <f t="shared" si="0"/>
        <v>1</v>
      </c>
    </row>
    <row r="16" spans="1:15">
      <c r="A16" s="46" t="s">
        <v>48</v>
      </c>
      <c r="B16" s="47" t="s">
        <v>39</v>
      </c>
      <c r="C16" s="45" t="s">
        <v>620</v>
      </c>
      <c r="D16" s="45" t="s">
        <v>621</v>
      </c>
      <c r="E16" s="45" t="s">
        <v>17</v>
      </c>
      <c r="F16" s="48" t="s">
        <v>17</v>
      </c>
      <c r="G16" s="45">
        <f t="shared" si="0"/>
        <v>1</v>
      </c>
    </row>
    <row r="17" spans="1:7">
      <c r="A17" s="46" t="s">
        <v>51</v>
      </c>
      <c r="B17" s="47" t="s">
        <v>39</v>
      </c>
      <c r="C17" s="45" t="s">
        <v>620</v>
      </c>
      <c r="D17" s="45" t="s">
        <v>621</v>
      </c>
      <c r="E17" s="45" t="s">
        <v>30</v>
      </c>
      <c r="F17" s="48" t="s">
        <v>30</v>
      </c>
      <c r="G17" s="45">
        <f t="shared" si="0"/>
        <v>1</v>
      </c>
    </row>
    <row r="18" spans="1:7">
      <c r="A18" s="46" t="s">
        <v>54</v>
      </c>
      <c r="B18" s="47" t="s">
        <v>39</v>
      </c>
      <c r="C18" s="45" t="s">
        <v>620</v>
      </c>
      <c r="D18" s="45" t="s">
        <v>621</v>
      </c>
      <c r="E18" s="45" t="s">
        <v>11</v>
      </c>
      <c r="F18" s="48" t="s">
        <v>11</v>
      </c>
      <c r="G18" s="45">
        <f t="shared" si="0"/>
        <v>1</v>
      </c>
    </row>
    <row r="19" spans="1:7">
      <c r="A19" s="46" t="s">
        <v>56</v>
      </c>
      <c r="B19" s="47" t="s">
        <v>39</v>
      </c>
      <c r="C19" s="45" t="s">
        <v>620</v>
      </c>
      <c r="D19" s="45" t="s">
        <v>621</v>
      </c>
      <c r="E19" s="45" t="s">
        <v>17</v>
      </c>
      <c r="F19" s="48" t="s">
        <v>17</v>
      </c>
      <c r="G19" s="45">
        <f t="shared" si="0"/>
        <v>1</v>
      </c>
    </row>
    <row r="20" spans="1:7">
      <c r="A20" s="46" t="s">
        <v>59</v>
      </c>
      <c r="B20" s="47" t="s">
        <v>39</v>
      </c>
      <c r="C20" s="45" t="s">
        <v>620</v>
      </c>
      <c r="D20" s="45" t="s">
        <v>621</v>
      </c>
      <c r="E20" s="45" t="s">
        <v>30</v>
      </c>
      <c r="F20" s="48" t="s">
        <v>26</v>
      </c>
      <c r="G20" s="45">
        <f t="shared" si="0"/>
        <v>0</v>
      </c>
    </row>
    <row r="21" spans="1:7">
      <c r="A21" s="46" t="s">
        <v>62</v>
      </c>
      <c r="B21" s="47" t="s">
        <v>39</v>
      </c>
      <c r="C21" s="45" t="s">
        <v>620</v>
      </c>
      <c r="D21" s="45" t="s">
        <v>621</v>
      </c>
      <c r="E21" s="45" t="s">
        <v>26</v>
      </c>
      <c r="F21" s="48" t="s">
        <v>30</v>
      </c>
      <c r="G21" s="45">
        <f t="shared" si="0"/>
        <v>0</v>
      </c>
    </row>
    <row r="22" spans="1:7">
      <c r="A22" s="46" t="s">
        <v>65</v>
      </c>
      <c r="B22" s="47" t="s">
        <v>39</v>
      </c>
      <c r="C22" s="45" t="s">
        <v>620</v>
      </c>
      <c r="D22" s="45" t="s">
        <v>621</v>
      </c>
      <c r="E22" s="45" t="s">
        <v>11</v>
      </c>
      <c r="F22" s="48" t="s">
        <v>11</v>
      </c>
      <c r="G22" s="45">
        <f t="shared" si="0"/>
        <v>1</v>
      </c>
    </row>
    <row r="23" spans="1:7">
      <c r="A23" s="46" t="s">
        <v>68</v>
      </c>
      <c r="B23" s="47" t="s">
        <v>69</v>
      </c>
      <c r="C23" s="45" t="s">
        <v>620</v>
      </c>
      <c r="D23" s="45" t="s">
        <v>621</v>
      </c>
      <c r="E23" s="45" t="s">
        <v>26</v>
      </c>
      <c r="F23" s="48" t="s">
        <v>26</v>
      </c>
      <c r="G23" s="45">
        <f t="shared" si="0"/>
        <v>1</v>
      </c>
    </row>
    <row r="24" spans="1:7">
      <c r="A24" s="46" t="s">
        <v>72</v>
      </c>
      <c r="B24" s="47" t="s">
        <v>69</v>
      </c>
      <c r="C24" s="45" t="s">
        <v>620</v>
      </c>
      <c r="D24" s="45" t="s">
        <v>621</v>
      </c>
      <c r="E24" s="45" t="s">
        <v>26</v>
      </c>
      <c r="F24" s="48" t="s">
        <v>11</v>
      </c>
      <c r="G24" s="45">
        <f t="shared" si="0"/>
        <v>0</v>
      </c>
    </row>
    <row r="25" spans="1:7">
      <c r="A25" s="46" t="s">
        <v>75</v>
      </c>
      <c r="B25" s="47" t="s">
        <v>69</v>
      </c>
      <c r="C25" s="45" t="s">
        <v>620</v>
      </c>
      <c r="D25" s="45" t="s">
        <v>621</v>
      </c>
      <c r="E25" s="45" t="s">
        <v>30</v>
      </c>
      <c r="F25" s="48" t="s">
        <v>30</v>
      </c>
      <c r="G25" s="45">
        <f t="shared" si="0"/>
        <v>1</v>
      </c>
    </row>
    <row r="26" spans="1:7">
      <c r="A26" s="46" t="s">
        <v>78</v>
      </c>
      <c r="B26" s="47" t="s">
        <v>69</v>
      </c>
      <c r="C26" s="45" t="s">
        <v>620</v>
      </c>
      <c r="D26" s="45" t="s">
        <v>621</v>
      </c>
      <c r="E26" s="45" t="s">
        <v>11</v>
      </c>
      <c r="F26" s="48" t="s">
        <v>30</v>
      </c>
      <c r="G26" s="45">
        <f t="shared" si="0"/>
        <v>0</v>
      </c>
    </row>
    <row r="27" spans="1:7">
      <c r="A27" s="46" t="s">
        <v>81</v>
      </c>
      <c r="B27" s="47" t="s">
        <v>69</v>
      </c>
      <c r="C27" s="45" t="s">
        <v>620</v>
      </c>
      <c r="D27" s="45" t="s">
        <v>621</v>
      </c>
      <c r="E27" s="45" t="s">
        <v>11</v>
      </c>
      <c r="F27" s="48" t="s">
        <v>11</v>
      </c>
      <c r="G27" s="45">
        <f t="shared" si="0"/>
        <v>1</v>
      </c>
    </row>
    <row r="28" spans="1:7">
      <c r="A28" s="46" t="s">
        <v>84</v>
      </c>
      <c r="B28" s="47" t="s">
        <v>69</v>
      </c>
      <c r="C28" s="45" t="s">
        <v>620</v>
      </c>
      <c r="D28" s="45" t="s">
        <v>621</v>
      </c>
      <c r="E28" s="45" t="s">
        <v>26</v>
      </c>
      <c r="F28" s="48" t="s">
        <v>11</v>
      </c>
      <c r="G28" s="45">
        <f t="shared" si="0"/>
        <v>0</v>
      </c>
    </row>
    <row r="29" spans="1:7">
      <c r="A29" s="46" t="s">
        <v>86</v>
      </c>
      <c r="B29" s="47" t="s">
        <v>69</v>
      </c>
      <c r="C29" s="45" t="s">
        <v>620</v>
      </c>
      <c r="D29" s="45" t="s">
        <v>621</v>
      </c>
      <c r="E29" s="45" t="s">
        <v>30</v>
      </c>
      <c r="F29" s="48" t="s">
        <v>83</v>
      </c>
      <c r="G29" s="45">
        <f t="shared" si="0"/>
        <v>0</v>
      </c>
    </row>
    <row r="30" spans="1:7">
      <c r="A30" s="46" t="s">
        <v>89</v>
      </c>
      <c r="B30" s="47" t="s">
        <v>69</v>
      </c>
      <c r="C30" s="45" t="s">
        <v>620</v>
      </c>
      <c r="D30" s="45" t="s">
        <v>621</v>
      </c>
      <c r="E30" s="45" t="s">
        <v>17</v>
      </c>
      <c r="F30" s="48" t="s">
        <v>30</v>
      </c>
      <c r="G30" s="45">
        <f t="shared" si="0"/>
        <v>0</v>
      </c>
    </row>
    <row r="31" spans="1:7">
      <c r="A31" s="46" t="s">
        <v>92</v>
      </c>
      <c r="B31" s="47" t="s">
        <v>69</v>
      </c>
      <c r="C31" s="45" t="s">
        <v>620</v>
      </c>
      <c r="D31" s="45" t="s">
        <v>621</v>
      </c>
      <c r="E31" s="45" t="s">
        <v>30</v>
      </c>
      <c r="F31" s="48" t="s">
        <v>17</v>
      </c>
      <c r="G31" s="45">
        <f t="shared" si="0"/>
        <v>0</v>
      </c>
    </row>
    <row r="32" spans="1:7">
      <c r="A32" s="46" t="s">
        <v>95</v>
      </c>
      <c r="B32" s="47" t="s">
        <v>69</v>
      </c>
      <c r="C32" s="45" t="s">
        <v>620</v>
      </c>
      <c r="D32" s="45" t="s">
        <v>621</v>
      </c>
      <c r="E32" s="45" t="s">
        <v>30</v>
      </c>
      <c r="F32" s="48" t="s">
        <v>30</v>
      </c>
      <c r="G32" s="45">
        <f t="shared" si="0"/>
        <v>1</v>
      </c>
    </row>
    <row r="33" spans="1:7">
      <c r="A33" s="46" t="s">
        <v>98</v>
      </c>
      <c r="B33" s="47" t="s">
        <v>69</v>
      </c>
      <c r="C33" s="45" t="s">
        <v>620</v>
      </c>
      <c r="D33" s="45" t="s">
        <v>621</v>
      </c>
      <c r="E33" s="45" t="s">
        <v>30</v>
      </c>
      <c r="F33" s="48" t="s">
        <v>26</v>
      </c>
      <c r="G33" s="45">
        <f t="shared" si="0"/>
        <v>0</v>
      </c>
    </row>
    <row r="34" spans="1:7">
      <c r="A34" s="46" t="s">
        <v>101</v>
      </c>
      <c r="B34" s="47" t="s">
        <v>69</v>
      </c>
      <c r="C34" s="45" t="s">
        <v>620</v>
      </c>
      <c r="D34" s="45" t="s">
        <v>621</v>
      </c>
      <c r="E34" s="45" t="s">
        <v>26</v>
      </c>
      <c r="F34" s="48" t="s">
        <v>26</v>
      </c>
      <c r="G34" s="45">
        <f t="shared" si="0"/>
        <v>1</v>
      </c>
    </row>
    <row r="35" spans="1:7">
      <c r="A35" s="46" t="s">
        <v>103</v>
      </c>
      <c r="B35" s="47" t="s">
        <v>69</v>
      </c>
      <c r="C35" s="45" t="s">
        <v>620</v>
      </c>
      <c r="D35" s="45" t="s">
        <v>621</v>
      </c>
      <c r="E35" s="45" t="s">
        <v>17</v>
      </c>
      <c r="F35" s="48" t="s">
        <v>17</v>
      </c>
      <c r="G35" s="45">
        <f t="shared" si="0"/>
        <v>1</v>
      </c>
    </row>
    <row r="36" spans="1:7">
      <c r="A36" s="46" t="s">
        <v>106</v>
      </c>
      <c r="B36" s="47" t="s">
        <v>69</v>
      </c>
      <c r="C36" s="45" t="s">
        <v>620</v>
      </c>
      <c r="D36" s="45" t="s">
        <v>621</v>
      </c>
      <c r="E36" s="45" t="s">
        <v>30</v>
      </c>
      <c r="F36" s="48" t="s">
        <v>26</v>
      </c>
      <c r="G36" s="45">
        <f t="shared" si="0"/>
        <v>0</v>
      </c>
    </row>
    <row r="37" spans="1:7">
      <c r="A37" s="46" t="s">
        <v>109</v>
      </c>
      <c r="B37" s="47" t="s">
        <v>69</v>
      </c>
      <c r="C37" s="45" t="s">
        <v>620</v>
      </c>
      <c r="D37" s="45" t="s">
        <v>621</v>
      </c>
      <c r="E37" s="45" t="s">
        <v>26</v>
      </c>
      <c r="F37" s="48" t="s">
        <v>26</v>
      </c>
      <c r="G37" s="45">
        <f t="shared" si="0"/>
        <v>1</v>
      </c>
    </row>
    <row r="38" spans="1:7">
      <c r="A38" s="46" t="s">
        <v>112</v>
      </c>
      <c r="B38" s="47" t="s">
        <v>113</v>
      </c>
      <c r="C38" s="45" t="s">
        <v>620</v>
      </c>
      <c r="D38" s="45" t="s">
        <v>621</v>
      </c>
      <c r="E38" s="45" t="s">
        <v>17</v>
      </c>
      <c r="F38" s="48" t="s">
        <v>17</v>
      </c>
      <c r="G38" s="45">
        <f t="shared" si="0"/>
        <v>1</v>
      </c>
    </row>
    <row r="39" spans="1:7">
      <c r="A39" s="46" t="s">
        <v>116</v>
      </c>
      <c r="B39" s="47" t="s">
        <v>113</v>
      </c>
      <c r="C39" s="45" t="s">
        <v>620</v>
      </c>
      <c r="D39" s="45" t="s">
        <v>621</v>
      </c>
      <c r="E39" s="45" t="s">
        <v>17</v>
      </c>
      <c r="F39" s="48" t="s">
        <v>26</v>
      </c>
      <c r="G39" s="45">
        <f t="shared" si="0"/>
        <v>0</v>
      </c>
    </row>
    <row r="40" spans="1:7">
      <c r="A40" s="46" t="s">
        <v>119</v>
      </c>
      <c r="B40" s="47" t="s">
        <v>113</v>
      </c>
      <c r="C40" s="45" t="s">
        <v>620</v>
      </c>
      <c r="D40" s="45" t="s">
        <v>621</v>
      </c>
      <c r="E40" s="45" t="s">
        <v>30</v>
      </c>
      <c r="F40" s="48" t="s">
        <v>30</v>
      </c>
      <c r="G40" s="45">
        <f t="shared" si="0"/>
        <v>1</v>
      </c>
    </row>
    <row r="41" spans="1:7">
      <c r="A41" s="46" t="s">
        <v>122</v>
      </c>
      <c r="B41" s="47" t="s">
        <v>113</v>
      </c>
      <c r="C41" s="45" t="s">
        <v>620</v>
      </c>
      <c r="D41" s="45" t="s">
        <v>621</v>
      </c>
      <c r="E41" s="45" t="s">
        <v>30</v>
      </c>
      <c r="F41" s="48" t="s">
        <v>30</v>
      </c>
      <c r="G41" s="45">
        <f t="shared" si="0"/>
        <v>1</v>
      </c>
    </row>
    <row r="42" spans="1:7">
      <c r="A42" s="46" t="s">
        <v>125</v>
      </c>
      <c r="B42" s="47" t="s">
        <v>113</v>
      </c>
      <c r="C42" s="45" t="s">
        <v>620</v>
      </c>
      <c r="D42" s="45" t="s">
        <v>621</v>
      </c>
      <c r="E42" s="45" t="s">
        <v>26</v>
      </c>
      <c r="F42" s="48" t="s">
        <v>26</v>
      </c>
      <c r="G42" s="45">
        <f t="shared" si="0"/>
        <v>1</v>
      </c>
    </row>
    <row r="43" spans="1:7">
      <c r="A43" s="46" t="s">
        <v>128</v>
      </c>
      <c r="B43" s="47" t="s">
        <v>113</v>
      </c>
      <c r="C43" s="45" t="s">
        <v>620</v>
      </c>
      <c r="D43" s="45" t="s">
        <v>621</v>
      </c>
      <c r="E43" s="45" t="s">
        <v>17</v>
      </c>
      <c r="F43" s="48" t="s">
        <v>26</v>
      </c>
      <c r="G43" s="45">
        <f t="shared" si="0"/>
        <v>0</v>
      </c>
    </row>
    <row r="44" spans="1:7">
      <c r="A44" s="46" t="s">
        <v>131</v>
      </c>
      <c r="B44" s="47" t="s">
        <v>113</v>
      </c>
      <c r="C44" s="45" t="s">
        <v>620</v>
      </c>
      <c r="D44" s="45" t="s">
        <v>621</v>
      </c>
      <c r="E44" s="45" t="s">
        <v>30</v>
      </c>
      <c r="F44" s="48" t="s">
        <v>30</v>
      </c>
      <c r="G44" s="45">
        <f t="shared" si="0"/>
        <v>1</v>
      </c>
    </row>
    <row r="45" spans="1:7">
      <c r="A45" s="46" t="s">
        <v>134</v>
      </c>
      <c r="B45" s="47" t="s">
        <v>135</v>
      </c>
      <c r="C45" s="45" t="s">
        <v>620</v>
      </c>
      <c r="D45" s="45" t="s">
        <v>621</v>
      </c>
      <c r="E45" s="45" t="s">
        <v>17</v>
      </c>
      <c r="F45" s="48" t="s">
        <v>17</v>
      </c>
      <c r="G45" s="45">
        <f t="shared" si="0"/>
        <v>1</v>
      </c>
    </row>
    <row r="46" spans="1:7">
      <c r="A46" s="46" t="s">
        <v>138</v>
      </c>
      <c r="B46" s="47" t="s">
        <v>135</v>
      </c>
      <c r="C46" s="45" t="s">
        <v>620</v>
      </c>
      <c r="D46" s="45" t="s">
        <v>621</v>
      </c>
      <c r="E46" s="45" t="s">
        <v>30</v>
      </c>
      <c r="F46" s="48" t="s">
        <v>30</v>
      </c>
      <c r="G46" s="45">
        <f t="shared" si="0"/>
        <v>1</v>
      </c>
    </row>
    <row r="47" spans="1:7">
      <c r="A47" s="46" t="s">
        <v>141</v>
      </c>
      <c r="B47" s="47" t="s">
        <v>135</v>
      </c>
      <c r="C47" s="45" t="s">
        <v>620</v>
      </c>
      <c r="D47" s="45" t="s">
        <v>621</v>
      </c>
      <c r="E47" s="45" t="s">
        <v>11</v>
      </c>
      <c r="F47" s="48" t="s">
        <v>26</v>
      </c>
      <c r="G47" s="45">
        <f t="shared" si="0"/>
        <v>0</v>
      </c>
    </row>
    <row r="48" spans="1:7">
      <c r="A48" s="46" t="s">
        <v>144</v>
      </c>
      <c r="B48" s="47" t="s">
        <v>135</v>
      </c>
      <c r="C48" s="45" t="s">
        <v>620</v>
      </c>
      <c r="D48" s="45" t="s">
        <v>621</v>
      </c>
      <c r="E48" s="45" t="s">
        <v>17</v>
      </c>
      <c r="F48" s="48" t="s">
        <v>17</v>
      </c>
      <c r="G48" s="45">
        <f t="shared" si="0"/>
        <v>1</v>
      </c>
    </row>
    <row r="49" spans="1:7">
      <c r="A49" s="46" t="s">
        <v>147</v>
      </c>
      <c r="B49" s="47" t="s">
        <v>135</v>
      </c>
      <c r="C49" s="45" t="s">
        <v>620</v>
      </c>
      <c r="D49" s="45" t="s">
        <v>621</v>
      </c>
      <c r="E49" s="45" t="s">
        <v>30</v>
      </c>
      <c r="F49" s="48" t="s">
        <v>30</v>
      </c>
      <c r="G49" s="45">
        <f t="shared" si="0"/>
        <v>1</v>
      </c>
    </row>
    <row r="50" spans="1:7">
      <c r="A50" s="46" t="s">
        <v>150</v>
      </c>
      <c r="B50" s="47" t="s">
        <v>135</v>
      </c>
      <c r="C50" s="45" t="s">
        <v>620</v>
      </c>
      <c r="D50" s="45" t="s">
        <v>621</v>
      </c>
      <c r="E50" s="45" t="s">
        <v>17</v>
      </c>
      <c r="F50" s="48" t="s">
        <v>11</v>
      </c>
      <c r="G50" s="45">
        <f t="shared" si="0"/>
        <v>0</v>
      </c>
    </row>
    <row r="51" spans="1:7">
      <c r="A51" s="46" t="s">
        <v>153</v>
      </c>
      <c r="B51" s="47" t="s">
        <v>135</v>
      </c>
      <c r="C51" s="45" t="s">
        <v>620</v>
      </c>
      <c r="D51" s="45" t="s">
        <v>621</v>
      </c>
      <c r="E51" s="45" t="s">
        <v>11</v>
      </c>
      <c r="F51" s="48" t="s">
        <v>11</v>
      </c>
      <c r="G51" s="45">
        <f t="shared" si="0"/>
        <v>1</v>
      </c>
    </row>
    <row r="52" spans="1:7">
      <c r="A52" s="46" t="s">
        <v>156</v>
      </c>
      <c r="B52" s="47" t="s">
        <v>135</v>
      </c>
      <c r="C52" s="45" t="s">
        <v>620</v>
      </c>
      <c r="D52" s="45" t="s">
        <v>621</v>
      </c>
      <c r="E52" s="45" t="s">
        <v>17</v>
      </c>
      <c r="F52" s="48" t="s">
        <v>17</v>
      </c>
      <c r="G52" s="45">
        <f t="shared" si="0"/>
        <v>1</v>
      </c>
    </row>
    <row r="53" spans="1:7">
      <c r="A53" s="46" t="s">
        <v>159</v>
      </c>
      <c r="B53" s="47" t="s">
        <v>135</v>
      </c>
      <c r="C53" s="45" t="s">
        <v>620</v>
      </c>
      <c r="D53" s="45" t="s">
        <v>621</v>
      </c>
      <c r="E53" s="45" t="s">
        <v>11</v>
      </c>
      <c r="F53" s="48" t="s">
        <v>11</v>
      </c>
      <c r="G53" s="45">
        <f t="shared" si="0"/>
        <v>1</v>
      </c>
    </row>
    <row r="54" spans="1:7">
      <c r="A54" s="46" t="s">
        <v>161</v>
      </c>
      <c r="B54" s="47" t="s">
        <v>135</v>
      </c>
      <c r="C54" s="45" t="s">
        <v>620</v>
      </c>
      <c r="D54" s="45" t="s">
        <v>621</v>
      </c>
      <c r="E54" s="45" t="s">
        <v>26</v>
      </c>
      <c r="F54" s="48" t="s">
        <v>26</v>
      </c>
      <c r="G54" s="45">
        <f t="shared" si="0"/>
        <v>1</v>
      </c>
    </row>
    <row r="55" spans="1:7">
      <c r="A55" s="46" t="s">
        <v>164</v>
      </c>
      <c r="B55" s="47" t="s">
        <v>135</v>
      </c>
      <c r="C55" s="45" t="s">
        <v>620</v>
      </c>
      <c r="D55" s="45" t="s">
        <v>621</v>
      </c>
      <c r="E55" s="45" t="s">
        <v>17</v>
      </c>
      <c r="F55" s="48" t="s">
        <v>17</v>
      </c>
      <c r="G55" s="45">
        <f t="shared" si="0"/>
        <v>1</v>
      </c>
    </row>
    <row r="56" spans="1:7">
      <c r="A56" s="46" t="s">
        <v>167</v>
      </c>
      <c r="B56" s="47" t="s">
        <v>135</v>
      </c>
      <c r="C56" s="45" t="s">
        <v>620</v>
      </c>
      <c r="D56" s="45" t="s">
        <v>621</v>
      </c>
      <c r="E56" s="45" t="s">
        <v>30</v>
      </c>
      <c r="F56" s="48" t="s">
        <v>30</v>
      </c>
      <c r="G56" s="45">
        <f t="shared" si="0"/>
        <v>1</v>
      </c>
    </row>
    <row r="57" spans="1:7">
      <c r="A57" s="46" t="s">
        <v>170</v>
      </c>
      <c r="B57" s="47" t="s">
        <v>135</v>
      </c>
      <c r="C57" s="45" t="s">
        <v>620</v>
      </c>
      <c r="D57" s="45" t="s">
        <v>621</v>
      </c>
      <c r="E57" s="45" t="s">
        <v>26</v>
      </c>
      <c r="F57" s="48" t="s">
        <v>11</v>
      </c>
      <c r="G57" s="45">
        <f t="shared" si="0"/>
        <v>0</v>
      </c>
    </row>
    <row r="58" spans="1:7">
      <c r="A58" s="46" t="s">
        <v>173</v>
      </c>
      <c r="B58" s="47" t="s">
        <v>39</v>
      </c>
      <c r="C58" s="45" t="s">
        <v>620</v>
      </c>
      <c r="D58" s="45" t="s">
        <v>621</v>
      </c>
      <c r="E58" s="45" t="s">
        <v>11</v>
      </c>
      <c r="F58" s="48" t="s">
        <v>30</v>
      </c>
      <c r="G58" s="45">
        <f t="shared" si="0"/>
        <v>0</v>
      </c>
    </row>
    <row r="59" spans="1:7">
      <c r="A59" s="46" t="s">
        <v>176</v>
      </c>
      <c r="B59" s="47" t="s">
        <v>39</v>
      </c>
      <c r="C59" s="45" t="s">
        <v>620</v>
      </c>
      <c r="D59" s="45" t="s">
        <v>621</v>
      </c>
      <c r="E59" s="45" t="s">
        <v>26</v>
      </c>
      <c r="F59" s="48" t="s">
        <v>30</v>
      </c>
      <c r="G59" s="45">
        <f t="shared" si="0"/>
        <v>0</v>
      </c>
    </row>
    <row r="60" spans="1:7">
      <c r="A60" s="46" t="s">
        <v>179</v>
      </c>
      <c r="B60" s="47" t="s">
        <v>39</v>
      </c>
      <c r="C60" s="45" t="s">
        <v>620</v>
      </c>
      <c r="D60" s="45" t="s">
        <v>621</v>
      </c>
      <c r="E60" s="45" t="s">
        <v>26</v>
      </c>
      <c r="F60" s="48" t="s">
        <v>26</v>
      </c>
      <c r="G60" s="45">
        <f t="shared" si="0"/>
        <v>1</v>
      </c>
    </row>
    <row r="61" spans="1:7">
      <c r="A61" s="46" t="s">
        <v>181</v>
      </c>
      <c r="B61" s="47" t="s">
        <v>39</v>
      </c>
      <c r="C61" s="45" t="s">
        <v>620</v>
      </c>
      <c r="D61" s="45" t="s">
        <v>621</v>
      </c>
      <c r="E61" s="45" t="s">
        <v>17</v>
      </c>
      <c r="F61" s="48" t="s">
        <v>26</v>
      </c>
      <c r="G61" s="45">
        <f t="shared" si="0"/>
        <v>0</v>
      </c>
    </row>
    <row r="62" spans="1:7">
      <c r="A62" s="46" t="s">
        <v>183</v>
      </c>
      <c r="B62" s="47" t="s">
        <v>39</v>
      </c>
      <c r="C62" s="45" t="s">
        <v>620</v>
      </c>
      <c r="D62" s="45" t="s">
        <v>621</v>
      </c>
      <c r="E62" s="45" t="s">
        <v>30</v>
      </c>
      <c r="F62" s="48" t="s">
        <v>30</v>
      </c>
      <c r="G62" s="45">
        <f t="shared" si="0"/>
        <v>1</v>
      </c>
    </row>
    <row r="63" spans="1:7">
      <c r="A63" s="46" t="s">
        <v>185</v>
      </c>
      <c r="B63" s="47" t="s">
        <v>39</v>
      </c>
      <c r="C63" s="45" t="s">
        <v>620</v>
      </c>
      <c r="D63" s="45" t="s">
        <v>621</v>
      </c>
      <c r="E63" s="45" t="s">
        <v>83</v>
      </c>
      <c r="F63" s="48" t="s">
        <v>11</v>
      </c>
      <c r="G63" s="45">
        <f t="shared" si="0"/>
        <v>0</v>
      </c>
    </row>
    <row r="64" spans="1:7">
      <c r="A64" s="46" t="s">
        <v>188</v>
      </c>
      <c r="B64" s="47" t="s">
        <v>39</v>
      </c>
      <c r="C64" s="45" t="s">
        <v>620</v>
      </c>
      <c r="D64" s="45" t="s">
        <v>621</v>
      </c>
      <c r="E64" s="45" t="s">
        <v>83</v>
      </c>
      <c r="F64" s="48" t="s">
        <v>11</v>
      </c>
      <c r="G64" s="45">
        <f t="shared" si="0"/>
        <v>0</v>
      </c>
    </row>
    <row r="65" spans="1:7">
      <c r="A65" s="46" t="s">
        <v>191</v>
      </c>
      <c r="B65" s="47" t="s">
        <v>39</v>
      </c>
      <c r="C65" s="45" t="s">
        <v>620</v>
      </c>
      <c r="D65" s="45" t="s">
        <v>621</v>
      </c>
      <c r="E65" s="45" t="s">
        <v>30</v>
      </c>
      <c r="F65" s="48" t="s">
        <v>30</v>
      </c>
      <c r="G65" s="45">
        <f t="shared" si="0"/>
        <v>1</v>
      </c>
    </row>
    <row r="66" spans="1:7">
      <c r="A66" s="46" t="s">
        <v>194</v>
      </c>
      <c r="B66" s="47" t="s">
        <v>39</v>
      </c>
      <c r="C66" s="45" t="s">
        <v>620</v>
      </c>
      <c r="D66" s="45" t="s">
        <v>621</v>
      </c>
      <c r="E66" s="45" t="s">
        <v>30</v>
      </c>
      <c r="F66" s="48" t="s">
        <v>30</v>
      </c>
      <c r="G66" s="45">
        <f t="shared" ref="G66:G129" si="3">IF(E66=F66,1,0)</f>
        <v>1</v>
      </c>
    </row>
    <row r="67" spans="1:7">
      <c r="A67" s="46" t="s">
        <v>196</v>
      </c>
      <c r="B67" s="47" t="s">
        <v>69</v>
      </c>
      <c r="C67" s="45" t="s">
        <v>620</v>
      </c>
      <c r="D67" s="45" t="s">
        <v>621</v>
      </c>
      <c r="E67" s="45" t="s">
        <v>83</v>
      </c>
      <c r="F67" s="48" t="s">
        <v>30</v>
      </c>
      <c r="G67" s="45">
        <f t="shared" si="3"/>
        <v>0</v>
      </c>
    </row>
    <row r="68" spans="1:7">
      <c r="A68" s="46" t="s">
        <v>199</v>
      </c>
      <c r="B68" s="47" t="s">
        <v>69</v>
      </c>
      <c r="C68" s="45" t="s">
        <v>620</v>
      </c>
      <c r="D68" s="45" t="s">
        <v>621</v>
      </c>
      <c r="E68" s="45" t="s">
        <v>17</v>
      </c>
      <c r="F68" s="48" t="s">
        <v>17</v>
      </c>
      <c r="G68" s="45">
        <f t="shared" si="3"/>
        <v>1</v>
      </c>
    </row>
    <row r="69" spans="1:7">
      <c r="A69" s="46" t="s">
        <v>202</v>
      </c>
      <c r="B69" s="47" t="s">
        <v>69</v>
      </c>
      <c r="C69" s="45" t="s">
        <v>620</v>
      </c>
      <c r="D69" s="45" t="s">
        <v>621</v>
      </c>
      <c r="E69" s="45" t="s">
        <v>17</v>
      </c>
      <c r="F69" s="48" t="s">
        <v>30</v>
      </c>
      <c r="G69" s="45">
        <f t="shared" si="3"/>
        <v>0</v>
      </c>
    </row>
    <row r="70" spans="1:7">
      <c r="A70" s="46" t="s">
        <v>205</v>
      </c>
      <c r="B70" s="47" t="s">
        <v>69</v>
      </c>
      <c r="C70" s="45" t="s">
        <v>620</v>
      </c>
      <c r="D70" s="45" t="s">
        <v>621</v>
      </c>
      <c r="E70" s="45" t="s">
        <v>26</v>
      </c>
      <c r="F70" s="48" t="s">
        <v>26</v>
      </c>
      <c r="G70" s="45">
        <f t="shared" si="3"/>
        <v>1</v>
      </c>
    </row>
    <row r="71" spans="1:7">
      <c r="A71" s="46" t="s">
        <v>207</v>
      </c>
      <c r="B71" s="47" t="s">
        <v>69</v>
      </c>
      <c r="C71" s="45" t="s">
        <v>620</v>
      </c>
      <c r="D71" s="45" t="s">
        <v>621</v>
      </c>
      <c r="E71" s="45" t="s">
        <v>17</v>
      </c>
      <c r="F71" s="48" t="s">
        <v>17</v>
      </c>
      <c r="G71" s="45">
        <f t="shared" si="3"/>
        <v>1</v>
      </c>
    </row>
    <row r="72" spans="1:7">
      <c r="A72" s="46" t="s">
        <v>210</v>
      </c>
      <c r="B72" s="47" t="s">
        <v>69</v>
      </c>
      <c r="C72" s="45" t="s">
        <v>620</v>
      </c>
      <c r="D72" s="45" t="s">
        <v>621</v>
      </c>
      <c r="E72" s="45" t="s">
        <v>17</v>
      </c>
      <c r="F72" s="48" t="s">
        <v>11</v>
      </c>
      <c r="G72" s="45">
        <f t="shared" si="3"/>
        <v>0</v>
      </c>
    </row>
    <row r="73" spans="1:7">
      <c r="A73" s="46" t="s">
        <v>213</v>
      </c>
      <c r="B73" s="47" t="s">
        <v>69</v>
      </c>
      <c r="C73" s="45" t="s">
        <v>620</v>
      </c>
      <c r="D73" s="45" t="s">
        <v>621</v>
      </c>
      <c r="E73" s="45" t="s">
        <v>17</v>
      </c>
      <c r="F73" s="48" t="s">
        <v>30</v>
      </c>
      <c r="G73" s="45">
        <f t="shared" si="3"/>
        <v>0</v>
      </c>
    </row>
    <row r="74" spans="1:7">
      <c r="A74" s="46" t="s">
        <v>216</v>
      </c>
      <c r="B74" s="47" t="s">
        <v>69</v>
      </c>
      <c r="C74" s="45" t="s">
        <v>620</v>
      </c>
      <c r="D74" s="45" t="s">
        <v>621</v>
      </c>
      <c r="E74" s="45" t="s">
        <v>30</v>
      </c>
      <c r="F74" s="48" t="s">
        <v>11</v>
      </c>
      <c r="G74" s="45">
        <f t="shared" si="3"/>
        <v>0</v>
      </c>
    </row>
    <row r="75" spans="1:7">
      <c r="A75" s="46" t="s">
        <v>219</v>
      </c>
      <c r="B75" s="47" t="s">
        <v>69</v>
      </c>
      <c r="C75" s="45" t="s">
        <v>620</v>
      </c>
      <c r="D75" s="45" t="s">
        <v>621</v>
      </c>
      <c r="E75" s="45" t="s">
        <v>11</v>
      </c>
      <c r="F75" s="48" t="s">
        <v>17</v>
      </c>
      <c r="G75" s="45">
        <f t="shared" si="3"/>
        <v>0</v>
      </c>
    </row>
    <row r="76" spans="1:7">
      <c r="A76" s="46" t="s">
        <v>222</v>
      </c>
      <c r="B76" s="47" t="s">
        <v>69</v>
      </c>
      <c r="C76" s="45" t="s">
        <v>620</v>
      </c>
      <c r="D76" s="45" t="s">
        <v>621</v>
      </c>
      <c r="E76" s="45" t="s">
        <v>30</v>
      </c>
      <c r="F76" s="48" t="s">
        <v>11</v>
      </c>
      <c r="G76" s="45">
        <f t="shared" si="3"/>
        <v>0</v>
      </c>
    </row>
    <row r="77" spans="1:7">
      <c r="A77" s="46" t="s">
        <v>225</v>
      </c>
      <c r="B77" s="47" t="s">
        <v>69</v>
      </c>
      <c r="C77" s="45" t="s">
        <v>620</v>
      </c>
      <c r="D77" s="45" t="s">
        <v>621</v>
      </c>
      <c r="E77" s="45" t="s">
        <v>11</v>
      </c>
      <c r="F77" s="48" t="s">
        <v>11</v>
      </c>
      <c r="G77" s="45">
        <f t="shared" si="3"/>
        <v>1</v>
      </c>
    </row>
    <row r="78" spans="1:7">
      <c r="A78" s="46" t="s">
        <v>227</v>
      </c>
      <c r="B78" s="47" t="s">
        <v>69</v>
      </c>
      <c r="C78" s="45" t="s">
        <v>620</v>
      </c>
      <c r="D78" s="45" t="s">
        <v>621</v>
      </c>
      <c r="E78" s="45" t="s">
        <v>26</v>
      </c>
      <c r="F78" s="48" t="s">
        <v>26</v>
      </c>
      <c r="G78" s="45">
        <f t="shared" si="3"/>
        <v>1</v>
      </c>
    </row>
    <row r="79" spans="1:7">
      <c r="A79" s="46" t="s">
        <v>230</v>
      </c>
      <c r="B79" s="47" t="s">
        <v>69</v>
      </c>
      <c r="C79" s="45" t="s">
        <v>620</v>
      </c>
      <c r="D79" s="45" t="s">
        <v>621</v>
      </c>
      <c r="E79" s="45" t="s">
        <v>17</v>
      </c>
      <c r="F79" s="48" t="s">
        <v>17</v>
      </c>
      <c r="G79" s="45">
        <f t="shared" si="3"/>
        <v>1</v>
      </c>
    </row>
    <row r="80" spans="1:7">
      <c r="A80" s="46" t="s">
        <v>233</v>
      </c>
      <c r="B80" s="47" t="s">
        <v>69</v>
      </c>
      <c r="C80" s="45" t="s">
        <v>620</v>
      </c>
      <c r="D80" s="45" t="s">
        <v>621</v>
      </c>
      <c r="E80" s="45" t="s">
        <v>17</v>
      </c>
      <c r="F80" s="48" t="s">
        <v>26</v>
      </c>
      <c r="G80" s="45">
        <f t="shared" si="3"/>
        <v>0</v>
      </c>
    </row>
    <row r="81" spans="1:7">
      <c r="A81" s="46" t="s">
        <v>236</v>
      </c>
      <c r="B81" s="47" t="s">
        <v>69</v>
      </c>
      <c r="C81" s="45" t="s">
        <v>620</v>
      </c>
      <c r="D81" s="45" t="s">
        <v>621</v>
      </c>
      <c r="E81" s="45" t="s">
        <v>17</v>
      </c>
      <c r="F81" s="48" t="s">
        <v>11</v>
      </c>
      <c r="G81" s="45">
        <f t="shared" si="3"/>
        <v>0</v>
      </c>
    </row>
    <row r="82" spans="1:7">
      <c r="A82" s="46" t="s">
        <v>238</v>
      </c>
      <c r="B82" s="47" t="s">
        <v>69</v>
      </c>
      <c r="C82" s="45" t="s">
        <v>620</v>
      </c>
      <c r="D82" s="45" t="s">
        <v>621</v>
      </c>
      <c r="E82" s="45" t="s">
        <v>26</v>
      </c>
      <c r="F82" s="48" t="s">
        <v>26</v>
      </c>
      <c r="G82" s="45">
        <f t="shared" si="3"/>
        <v>1</v>
      </c>
    </row>
    <row r="83" spans="1:7">
      <c r="A83" s="46" t="s">
        <v>241</v>
      </c>
      <c r="B83" s="47" t="s">
        <v>69</v>
      </c>
      <c r="C83" s="45" t="s">
        <v>620</v>
      </c>
      <c r="D83" s="45" t="s">
        <v>621</v>
      </c>
      <c r="E83" s="45" t="s">
        <v>17</v>
      </c>
      <c r="F83" s="48" t="s">
        <v>17</v>
      </c>
      <c r="G83" s="45">
        <f t="shared" si="3"/>
        <v>1</v>
      </c>
    </row>
    <row r="84" spans="1:7">
      <c r="A84" s="46" t="s">
        <v>244</v>
      </c>
      <c r="B84" s="47" t="s">
        <v>69</v>
      </c>
      <c r="C84" s="45" t="s">
        <v>620</v>
      </c>
      <c r="D84" s="45" t="s">
        <v>621</v>
      </c>
      <c r="E84" s="45" t="s">
        <v>30</v>
      </c>
      <c r="F84" s="48" t="s">
        <v>30</v>
      </c>
      <c r="G84" s="45">
        <f t="shared" si="3"/>
        <v>1</v>
      </c>
    </row>
    <row r="85" spans="1:7">
      <c r="A85" s="46" t="s">
        <v>247</v>
      </c>
      <c r="B85" s="47" t="s">
        <v>8</v>
      </c>
      <c r="C85" s="45" t="s">
        <v>620</v>
      </c>
      <c r="D85" s="45" t="s">
        <v>621</v>
      </c>
      <c r="E85" s="45" t="s">
        <v>30</v>
      </c>
      <c r="F85" s="48" t="s">
        <v>30</v>
      </c>
      <c r="G85" s="45">
        <f t="shared" si="3"/>
        <v>1</v>
      </c>
    </row>
    <row r="86" spans="1:7">
      <c r="A86" s="46" t="s">
        <v>249</v>
      </c>
      <c r="B86" s="47" t="s">
        <v>8</v>
      </c>
      <c r="C86" s="45" t="s">
        <v>620</v>
      </c>
      <c r="D86" s="45" t="s">
        <v>621</v>
      </c>
      <c r="E86" s="45" t="s">
        <v>30</v>
      </c>
      <c r="F86" s="48" t="s">
        <v>30</v>
      </c>
      <c r="G86" s="45">
        <f t="shared" si="3"/>
        <v>1</v>
      </c>
    </row>
    <row r="87" spans="1:7">
      <c r="A87" s="46" t="s">
        <v>252</v>
      </c>
      <c r="B87" s="47" t="s">
        <v>8</v>
      </c>
      <c r="C87" s="45" t="s">
        <v>620</v>
      </c>
      <c r="D87" s="45" t="s">
        <v>621</v>
      </c>
      <c r="E87" s="45" t="s">
        <v>11</v>
      </c>
      <c r="F87" s="48" t="s">
        <v>11</v>
      </c>
      <c r="G87" s="45">
        <f t="shared" si="3"/>
        <v>1</v>
      </c>
    </row>
    <row r="88" spans="1:7">
      <c r="A88" s="46" t="s">
        <v>255</v>
      </c>
      <c r="B88" s="47" t="s">
        <v>8</v>
      </c>
      <c r="C88" s="45" t="s">
        <v>620</v>
      </c>
      <c r="D88" s="45" t="s">
        <v>621</v>
      </c>
      <c r="E88" s="45" t="s">
        <v>26</v>
      </c>
      <c r="F88" s="48" t="s">
        <v>26</v>
      </c>
      <c r="G88" s="45">
        <f t="shared" si="3"/>
        <v>1</v>
      </c>
    </row>
    <row r="89" spans="1:7">
      <c r="A89" s="46" t="s">
        <v>258</v>
      </c>
      <c r="B89" s="47" t="s">
        <v>8</v>
      </c>
      <c r="C89" s="45" t="s">
        <v>620</v>
      </c>
      <c r="D89" s="45" t="s">
        <v>621</v>
      </c>
      <c r="E89" s="45" t="s">
        <v>11</v>
      </c>
      <c r="F89" s="48" t="s">
        <v>11</v>
      </c>
      <c r="G89" s="45">
        <f t="shared" si="3"/>
        <v>1</v>
      </c>
    </row>
    <row r="90" spans="1:7">
      <c r="A90" s="46" t="s">
        <v>260</v>
      </c>
      <c r="B90" s="47" t="s">
        <v>8</v>
      </c>
      <c r="C90" s="45" t="s">
        <v>620</v>
      </c>
      <c r="D90" s="45" t="s">
        <v>621</v>
      </c>
      <c r="E90" s="45" t="s">
        <v>11</v>
      </c>
      <c r="F90" s="48" t="s">
        <v>26</v>
      </c>
      <c r="G90" s="45">
        <f t="shared" si="3"/>
        <v>0</v>
      </c>
    </row>
    <row r="91" spans="1:7">
      <c r="A91" s="46" t="s">
        <v>263</v>
      </c>
      <c r="B91" s="47" t="s">
        <v>8</v>
      </c>
      <c r="C91" s="45" t="s">
        <v>620</v>
      </c>
      <c r="D91" s="45" t="s">
        <v>621</v>
      </c>
      <c r="E91" s="45" t="s">
        <v>11</v>
      </c>
      <c r="F91" s="48" t="s">
        <v>11</v>
      </c>
      <c r="G91" s="45">
        <f t="shared" si="3"/>
        <v>1</v>
      </c>
    </row>
    <row r="92" spans="1:7">
      <c r="A92" s="46" t="s">
        <v>266</v>
      </c>
      <c r="B92" s="47" t="s">
        <v>8</v>
      </c>
      <c r="C92" s="45" t="s">
        <v>620</v>
      </c>
      <c r="D92" s="45" t="s">
        <v>621</v>
      </c>
      <c r="E92" s="45" t="s">
        <v>11</v>
      </c>
      <c r="F92" s="48" t="s">
        <v>11</v>
      </c>
      <c r="G92" s="45">
        <f t="shared" si="3"/>
        <v>1</v>
      </c>
    </row>
    <row r="93" spans="1:7">
      <c r="A93" s="46" t="s">
        <v>269</v>
      </c>
      <c r="B93" s="47" t="s">
        <v>8</v>
      </c>
      <c r="C93" s="45" t="s">
        <v>620</v>
      </c>
      <c r="D93" s="45" t="s">
        <v>621</v>
      </c>
      <c r="E93" s="45" t="s">
        <v>30</v>
      </c>
      <c r="F93" s="48" t="s">
        <v>11</v>
      </c>
      <c r="G93" s="45">
        <f t="shared" si="3"/>
        <v>0</v>
      </c>
    </row>
    <row r="94" spans="1:7">
      <c r="A94" s="46" t="s">
        <v>272</v>
      </c>
      <c r="B94" s="47" t="s">
        <v>8</v>
      </c>
      <c r="C94" s="45" t="s">
        <v>620</v>
      </c>
      <c r="D94" s="45" t="s">
        <v>621</v>
      </c>
      <c r="E94" s="45" t="s">
        <v>26</v>
      </c>
      <c r="F94" s="48" t="s">
        <v>26</v>
      </c>
      <c r="G94" s="45">
        <f t="shared" si="3"/>
        <v>1</v>
      </c>
    </row>
    <row r="95" spans="1:7">
      <c r="A95" s="46" t="s">
        <v>275</v>
      </c>
      <c r="B95" s="47" t="s">
        <v>8</v>
      </c>
      <c r="C95" s="45" t="s">
        <v>620</v>
      </c>
      <c r="D95" s="45" t="s">
        <v>621</v>
      </c>
      <c r="E95" s="45" t="s">
        <v>26</v>
      </c>
      <c r="F95" s="48" t="s">
        <v>30</v>
      </c>
      <c r="G95" s="45">
        <f t="shared" si="3"/>
        <v>0</v>
      </c>
    </row>
    <row r="96" spans="1:7">
      <c r="A96" s="46" t="s">
        <v>277</v>
      </c>
      <c r="B96" s="47" t="s">
        <v>8</v>
      </c>
      <c r="C96" s="45" t="s">
        <v>620</v>
      </c>
      <c r="D96" s="45" t="s">
        <v>621</v>
      </c>
      <c r="E96" s="45" t="s">
        <v>26</v>
      </c>
      <c r="F96" s="48" t="s">
        <v>26</v>
      </c>
      <c r="G96" s="45">
        <f t="shared" si="3"/>
        <v>1</v>
      </c>
    </row>
    <row r="97" spans="1:7">
      <c r="A97" s="46" t="s">
        <v>280</v>
      </c>
      <c r="B97" s="47" t="s">
        <v>8</v>
      </c>
      <c r="C97" s="45" t="s">
        <v>620</v>
      </c>
      <c r="D97" s="45" t="s">
        <v>621</v>
      </c>
      <c r="E97" s="45" t="s">
        <v>26</v>
      </c>
      <c r="F97" s="48" t="s">
        <v>17</v>
      </c>
      <c r="G97" s="45">
        <f t="shared" si="3"/>
        <v>0</v>
      </c>
    </row>
    <row r="98" spans="1:7">
      <c r="A98" s="46" t="s">
        <v>282</v>
      </c>
      <c r="B98" s="47" t="s">
        <v>8</v>
      </c>
      <c r="C98" s="45" t="s">
        <v>620</v>
      </c>
      <c r="D98" s="45" t="s">
        <v>621</v>
      </c>
      <c r="E98" s="45" t="s">
        <v>30</v>
      </c>
      <c r="F98" s="48" t="s">
        <v>30</v>
      </c>
      <c r="G98" s="45">
        <f t="shared" si="3"/>
        <v>1</v>
      </c>
    </row>
    <row r="99" spans="1:7">
      <c r="A99" s="46" t="s">
        <v>284</v>
      </c>
      <c r="B99" s="47" t="s">
        <v>113</v>
      </c>
      <c r="C99" s="45" t="s">
        <v>620</v>
      </c>
      <c r="D99" s="45" t="s">
        <v>621</v>
      </c>
      <c r="E99" s="45" t="s">
        <v>30</v>
      </c>
      <c r="F99" s="48" t="s">
        <v>30</v>
      </c>
      <c r="G99" s="45">
        <f t="shared" si="3"/>
        <v>1</v>
      </c>
    </row>
    <row r="100" spans="1:7">
      <c r="A100" s="46" t="s">
        <v>287</v>
      </c>
      <c r="B100" s="47" t="s">
        <v>113</v>
      </c>
      <c r="C100" s="45" t="s">
        <v>620</v>
      </c>
      <c r="D100" s="45" t="s">
        <v>621</v>
      </c>
      <c r="E100" s="45" t="s">
        <v>11</v>
      </c>
      <c r="F100" s="48" t="s">
        <v>11</v>
      </c>
      <c r="G100" s="45">
        <f t="shared" si="3"/>
        <v>1</v>
      </c>
    </row>
    <row r="101" spans="1:7">
      <c r="A101" s="46" t="s">
        <v>290</v>
      </c>
      <c r="B101" s="47" t="s">
        <v>113</v>
      </c>
      <c r="C101" s="45" t="s">
        <v>620</v>
      </c>
      <c r="D101" s="45" t="s">
        <v>621</v>
      </c>
      <c r="E101" s="45" t="s">
        <v>11</v>
      </c>
      <c r="F101" s="48" t="s">
        <v>11</v>
      </c>
      <c r="G101" s="45">
        <f t="shared" si="3"/>
        <v>1</v>
      </c>
    </row>
    <row r="102" spans="1:7">
      <c r="A102" s="46" t="s">
        <v>293</v>
      </c>
      <c r="B102" s="47" t="s">
        <v>113</v>
      </c>
      <c r="C102" s="45" t="s">
        <v>620</v>
      </c>
      <c r="D102" s="45" t="s">
        <v>621</v>
      </c>
      <c r="E102" s="45" t="s">
        <v>11</v>
      </c>
      <c r="F102" s="48" t="s">
        <v>11</v>
      </c>
      <c r="G102" s="45">
        <f t="shared" si="3"/>
        <v>1</v>
      </c>
    </row>
    <row r="103" spans="1:7">
      <c r="A103" s="46" t="s">
        <v>296</v>
      </c>
      <c r="B103" s="47" t="s">
        <v>113</v>
      </c>
      <c r="C103" s="45" t="s">
        <v>620</v>
      </c>
      <c r="D103" s="45" t="s">
        <v>621</v>
      </c>
      <c r="E103" s="45" t="s">
        <v>26</v>
      </c>
      <c r="F103" s="48" t="s">
        <v>26</v>
      </c>
      <c r="G103" s="45">
        <f t="shared" si="3"/>
        <v>1</v>
      </c>
    </row>
    <row r="104" spans="1:7">
      <c r="A104" s="46" t="s">
        <v>299</v>
      </c>
      <c r="B104" s="47" t="s">
        <v>113</v>
      </c>
      <c r="C104" s="45" t="s">
        <v>620</v>
      </c>
      <c r="D104" s="45" t="s">
        <v>621</v>
      </c>
      <c r="E104" s="45" t="s">
        <v>17</v>
      </c>
      <c r="F104" s="48" t="s">
        <v>17</v>
      </c>
      <c r="G104" s="45">
        <f t="shared" si="3"/>
        <v>1</v>
      </c>
    </row>
    <row r="105" spans="1:7">
      <c r="A105" s="46" t="s">
        <v>302</v>
      </c>
      <c r="B105" s="47" t="s">
        <v>113</v>
      </c>
      <c r="C105" s="45" t="s">
        <v>620</v>
      </c>
      <c r="D105" s="45" t="s">
        <v>621</v>
      </c>
      <c r="E105" s="45" t="s">
        <v>26</v>
      </c>
      <c r="F105" s="48" t="s">
        <v>26</v>
      </c>
      <c r="G105" s="45">
        <f t="shared" si="3"/>
        <v>1</v>
      </c>
    </row>
    <row r="106" spans="1:7">
      <c r="A106" s="46" t="s">
        <v>305</v>
      </c>
      <c r="B106" s="47" t="s">
        <v>113</v>
      </c>
      <c r="C106" s="45" t="s">
        <v>620</v>
      </c>
      <c r="D106" s="45" t="s">
        <v>621</v>
      </c>
      <c r="E106" s="45" t="s">
        <v>17</v>
      </c>
      <c r="F106" s="48" t="s">
        <v>17</v>
      </c>
      <c r="G106" s="45">
        <f t="shared" si="3"/>
        <v>1</v>
      </c>
    </row>
    <row r="107" spans="1:7">
      <c r="A107" s="46" t="s">
        <v>308</v>
      </c>
      <c r="B107" s="47" t="s">
        <v>113</v>
      </c>
      <c r="C107" s="45" t="s">
        <v>620</v>
      </c>
      <c r="D107" s="45" t="s">
        <v>621</v>
      </c>
      <c r="E107" s="45" t="s">
        <v>30</v>
      </c>
      <c r="F107" s="48" t="s">
        <v>30</v>
      </c>
      <c r="G107" s="45">
        <f t="shared" si="3"/>
        <v>1</v>
      </c>
    </row>
    <row r="108" spans="1:7">
      <c r="A108" s="46" t="s">
        <v>310</v>
      </c>
      <c r="B108" s="47" t="s">
        <v>135</v>
      </c>
      <c r="C108" s="45" t="s">
        <v>620</v>
      </c>
      <c r="D108" s="45" t="s">
        <v>621</v>
      </c>
      <c r="E108" s="45" t="s">
        <v>17</v>
      </c>
      <c r="F108" s="48" t="s">
        <v>17</v>
      </c>
      <c r="G108" s="45">
        <f t="shared" si="3"/>
        <v>1</v>
      </c>
    </row>
    <row r="109" spans="1:7">
      <c r="A109" s="46" t="s">
        <v>313</v>
      </c>
      <c r="B109" s="47" t="s">
        <v>135</v>
      </c>
      <c r="C109" s="45" t="s">
        <v>620</v>
      </c>
      <c r="D109" s="45" t="s">
        <v>621</v>
      </c>
      <c r="E109" s="45" t="s">
        <v>11</v>
      </c>
      <c r="F109" s="48" t="s">
        <v>26</v>
      </c>
      <c r="G109" s="45">
        <f t="shared" si="3"/>
        <v>0</v>
      </c>
    </row>
    <row r="110" spans="1:7">
      <c r="A110" s="46" t="s">
        <v>316</v>
      </c>
      <c r="B110" s="47" t="s">
        <v>135</v>
      </c>
      <c r="C110" s="45" t="s">
        <v>620</v>
      </c>
      <c r="D110" s="45" t="s">
        <v>621</v>
      </c>
      <c r="E110" s="45" t="s">
        <v>17</v>
      </c>
      <c r="F110" s="48" t="s">
        <v>11</v>
      </c>
      <c r="G110" s="45">
        <f t="shared" si="3"/>
        <v>0</v>
      </c>
    </row>
    <row r="111" spans="1:7">
      <c r="A111" s="46" t="s">
        <v>318</v>
      </c>
      <c r="B111" s="47" t="s">
        <v>113</v>
      </c>
      <c r="C111" s="45" t="s">
        <v>620</v>
      </c>
      <c r="D111" s="45" t="s">
        <v>621</v>
      </c>
      <c r="E111" s="45" t="s">
        <v>11</v>
      </c>
      <c r="F111" s="48" t="s">
        <v>11</v>
      </c>
      <c r="G111" s="45">
        <f t="shared" si="3"/>
        <v>1</v>
      </c>
    </row>
    <row r="112" spans="1:7">
      <c r="A112" s="46" t="s">
        <v>321</v>
      </c>
      <c r="B112" s="47" t="s">
        <v>113</v>
      </c>
      <c r="C112" s="45" t="s">
        <v>620</v>
      </c>
      <c r="D112" s="45" t="s">
        <v>621</v>
      </c>
      <c r="E112" s="45" t="s">
        <v>30</v>
      </c>
      <c r="F112" s="48" t="s">
        <v>11</v>
      </c>
      <c r="G112" s="45">
        <f t="shared" si="3"/>
        <v>0</v>
      </c>
    </row>
    <row r="113" spans="1:7">
      <c r="A113" s="46" t="s">
        <v>324</v>
      </c>
      <c r="B113" s="47" t="s">
        <v>113</v>
      </c>
      <c r="C113" s="45" t="s">
        <v>620</v>
      </c>
      <c r="D113" s="45" t="s">
        <v>621</v>
      </c>
      <c r="E113" s="45" t="s">
        <v>17</v>
      </c>
      <c r="F113" s="48" t="s">
        <v>11</v>
      </c>
      <c r="G113" s="45">
        <f t="shared" si="3"/>
        <v>0</v>
      </c>
    </row>
    <row r="114" spans="1:7">
      <c r="A114" s="46" t="s">
        <v>327</v>
      </c>
      <c r="B114" s="47" t="s">
        <v>113</v>
      </c>
      <c r="C114" s="45" t="s">
        <v>620</v>
      </c>
      <c r="D114" s="45" t="s">
        <v>621</v>
      </c>
      <c r="E114" s="45" t="s">
        <v>26</v>
      </c>
      <c r="F114" s="48" t="s">
        <v>26</v>
      </c>
      <c r="G114" s="45">
        <f t="shared" si="3"/>
        <v>1</v>
      </c>
    </row>
    <row r="115" spans="1:7">
      <c r="A115" s="46" t="s">
        <v>330</v>
      </c>
      <c r="B115" s="47" t="s">
        <v>8</v>
      </c>
      <c r="C115" s="45" t="s">
        <v>620</v>
      </c>
      <c r="D115" s="45" t="s">
        <v>621</v>
      </c>
      <c r="E115" s="45" t="s">
        <v>26</v>
      </c>
      <c r="F115" s="48" t="s">
        <v>11</v>
      </c>
      <c r="G115" s="45">
        <f t="shared" si="3"/>
        <v>0</v>
      </c>
    </row>
    <row r="116" spans="1:7">
      <c r="A116" s="46" t="s">
        <v>333</v>
      </c>
      <c r="B116" s="47" t="s">
        <v>8</v>
      </c>
      <c r="C116" s="45" t="s">
        <v>620</v>
      </c>
      <c r="D116" s="45" t="s">
        <v>621</v>
      </c>
      <c r="E116" s="45" t="s">
        <v>30</v>
      </c>
      <c r="F116" s="48" t="s">
        <v>17</v>
      </c>
      <c r="G116" s="45">
        <f t="shared" si="3"/>
        <v>0</v>
      </c>
    </row>
    <row r="117" spans="1:7">
      <c r="A117" s="46" t="s">
        <v>336</v>
      </c>
      <c r="B117" s="47" t="s">
        <v>8</v>
      </c>
      <c r="C117" s="45" t="s">
        <v>620</v>
      </c>
      <c r="D117" s="45" t="s">
        <v>621</v>
      </c>
      <c r="E117" s="45" t="s">
        <v>26</v>
      </c>
      <c r="F117" s="48" t="s">
        <v>17</v>
      </c>
      <c r="G117" s="45">
        <f t="shared" si="3"/>
        <v>0</v>
      </c>
    </row>
    <row r="118" spans="1:7">
      <c r="A118" s="46" t="s">
        <v>339</v>
      </c>
      <c r="B118" s="47" t="s">
        <v>8</v>
      </c>
      <c r="C118" s="45" t="s">
        <v>620</v>
      </c>
      <c r="D118" s="45" t="s">
        <v>621</v>
      </c>
      <c r="E118" s="45" t="s">
        <v>11</v>
      </c>
      <c r="F118" s="48" t="s">
        <v>11</v>
      </c>
      <c r="G118" s="45">
        <f t="shared" si="3"/>
        <v>1</v>
      </c>
    </row>
    <row r="119" spans="1:7">
      <c r="A119" s="46" t="s">
        <v>341</v>
      </c>
      <c r="B119" s="47" t="s">
        <v>8</v>
      </c>
      <c r="C119" s="45" t="s">
        <v>620</v>
      </c>
      <c r="D119" s="45" t="s">
        <v>621</v>
      </c>
      <c r="E119" s="45" t="s">
        <v>30</v>
      </c>
      <c r="F119" s="48" t="s">
        <v>30</v>
      </c>
      <c r="G119" s="45">
        <f t="shared" si="3"/>
        <v>1</v>
      </c>
    </row>
    <row r="120" spans="1:7">
      <c r="A120" s="46" t="s">
        <v>344</v>
      </c>
      <c r="B120" s="47" t="s">
        <v>8</v>
      </c>
      <c r="C120" s="45" t="s">
        <v>620</v>
      </c>
      <c r="D120" s="45" t="s">
        <v>621</v>
      </c>
      <c r="E120" s="45" t="s">
        <v>11</v>
      </c>
      <c r="F120" s="48" t="s">
        <v>83</v>
      </c>
      <c r="G120" s="45">
        <f t="shared" si="3"/>
        <v>0</v>
      </c>
    </row>
    <row r="121" spans="1:7">
      <c r="A121" s="46" t="s">
        <v>346</v>
      </c>
      <c r="B121" s="47" t="s">
        <v>8</v>
      </c>
      <c r="C121" s="45" t="s">
        <v>620</v>
      </c>
      <c r="D121" s="45" t="s">
        <v>621</v>
      </c>
      <c r="E121" s="45" t="s">
        <v>11</v>
      </c>
      <c r="F121" s="48" t="s">
        <v>30</v>
      </c>
      <c r="G121" s="45">
        <f t="shared" si="3"/>
        <v>0</v>
      </c>
    </row>
    <row r="122" spans="1:7">
      <c r="A122" s="46" t="s">
        <v>349</v>
      </c>
      <c r="B122" s="47" t="s">
        <v>8</v>
      </c>
      <c r="C122" s="45" t="s">
        <v>620</v>
      </c>
      <c r="D122" s="45" t="s">
        <v>621</v>
      </c>
      <c r="E122" s="45" t="s">
        <v>17</v>
      </c>
      <c r="F122" s="48" t="s">
        <v>17</v>
      </c>
      <c r="G122" s="45">
        <f t="shared" si="3"/>
        <v>1</v>
      </c>
    </row>
    <row r="123" spans="1:7">
      <c r="A123" s="46" t="s">
        <v>351</v>
      </c>
      <c r="B123" s="47" t="s">
        <v>8</v>
      </c>
      <c r="C123" s="45" t="s">
        <v>620</v>
      </c>
      <c r="D123" s="45" t="s">
        <v>621</v>
      </c>
      <c r="E123" s="45" t="s">
        <v>30</v>
      </c>
      <c r="F123" s="48" t="s">
        <v>26</v>
      </c>
      <c r="G123" s="45">
        <f t="shared" si="3"/>
        <v>0</v>
      </c>
    </row>
    <row r="124" spans="1:7">
      <c r="A124" s="46" t="s">
        <v>354</v>
      </c>
      <c r="B124" s="47" t="s">
        <v>8</v>
      </c>
      <c r="C124" s="45" t="s">
        <v>620</v>
      </c>
      <c r="D124" s="45" t="s">
        <v>621</v>
      </c>
      <c r="E124" s="45" t="s">
        <v>11</v>
      </c>
      <c r="F124" s="48" t="s">
        <v>11</v>
      </c>
      <c r="G124" s="45">
        <f t="shared" si="3"/>
        <v>1</v>
      </c>
    </row>
    <row r="125" spans="1:7">
      <c r="A125" s="46" t="s">
        <v>356</v>
      </c>
      <c r="B125" s="47" t="s">
        <v>8</v>
      </c>
      <c r="C125" s="45" t="s">
        <v>620</v>
      </c>
      <c r="D125" s="45" t="s">
        <v>621</v>
      </c>
      <c r="E125" s="45" t="s">
        <v>17</v>
      </c>
      <c r="F125" s="48" t="s">
        <v>17</v>
      </c>
      <c r="G125" s="45">
        <f t="shared" si="3"/>
        <v>1</v>
      </c>
    </row>
    <row r="126" spans="1:7">
      <c r="A126" s="46" t="s">
        <v>359</v>
      </c>
      <c r="B126" s="47" t="s">
        <v>8</v>
      </c>
      <c r="C126" s="45" t="s">
        <v>620</v>
      </c>
      <c r="D126" s="45" t="s">
        <v>621</v>
      </c>
      <c r="E126" s="45" t="s">
        <v>30</v>
      </c>
      <c r="F126" s="48" t="s">
        <v>30</v>
      </c>
      <c r="G126" s="45">
        <f t="shared" si="3"/>
        <v>1</v>
      </c>
    </row>
    <row r="127" spans="1:7">
      <c r="A127" s="46" t="s">
        <v>362</v>
      </c>
      <c r="B127" s="47" t="s">
        <v>8</v>
      </c>
      <c r="C127" s="45" t="s">
        <v>620</v>
      </c>
      <c r="D127" s="45" t="s">
        <v>621</v>
      </c>
      <c r="E127" s="45" t="s">
        <v>26</v>
      </c>
      <c r="F127" s="48" t="s">
        <v>26</v>
      </c>
      <c r="G127" s="45">
        <f t="shared" si="3"/>
        <v>1</v>
      </c>
    </row>
    <row r="128" spans="1:7">
      <c r="A128" s="46" t="s">
        <v>365</v>
      </c>
      <c r="B128" s="47" t="s">
        <v>8</v>
      </c>
      <c r="C128" s="45" t="s">
        <v>620</v>
      </c>
      <c r="D128" s="45" t="s">
        <v>621</v>
      </c>
      <c r="E128" s="45" t="s">
        <v>11</v>
      </c>
      <c r="F128" s="48" t="s">
        <v>11</v>
      </c>
      <c r="G128" s="45">
        <f t="shared" si="3"/>
        <v>1</v>
      </c>
    </row>
    <row r="129" spans="1:7">
      <c r="A129" s="46" t="s">
        <v>367</v>
      </c>
      <c r="B129" s="47" t="s">
        <v>39</v>
      </c>
      <c r="C129" s="45" t="s">
        <v>620</v>
      </c>
      <c r="D129" s="45" t="s">
        <v>621</v>
      </c>
      <c r="E129" s="45" t="s">
        <v>30</v>
      </c>
      <c r="F129" s="48" t="s">
        <v>30</v>
      </c>
      <c r="G129" s="45">
        <f t="shared" si="3"/>
        <v>1</v>
      </c>
    </row>
    <row r="130" spans="1:7">
      <c r="A130" s="46" t="s">
        <v>369</v>
      </c>
      <c r="B130" s="47" t="s">
        <v>39</v>
      </c>
      <c r="C130" s="45" t="s">
        <v>620</v>
      </c>
      <c r="D130" s="45" t="s">
        <v>621</v>
      </c>
      <c r="E130" s="45" t="s">
        <v>26</v>
      </c>
      <c r="F130" s="48" t="s">
        <v>26</v>
      </c>
      <c r="G130" s="45">
        <f t="shared" ref="G130:G156" si="4">IF(E130=F130,1,0)</f>
        <v>1</v>
      </c>
    </row>
    <row r="131" spans="1:7">
      <c r="A131" s="46" t="s">
        <v>372</v>
      </c>
      <c r="B131" s="47" t="s">
        <v>39</v>
      </c>
      <c r="C131" s="45" t="s">
        <v>620</v>
      </c>
      <c r="D131" s="45" t="s">
        <v>621</v>
      </c>
      <c r="E131" s="45" t="s">
        <v>17</v>
      </c>
      <c r="F131" s="48" t="s">
        <v>30</v>
      </c>
      <c r="G131" s="45">
        <f t="shared" si="4"/>
        <v>0</v>
      </c>
    </row>
    <row r="132" spans="1:7">
      <c r="A132" s="46" t="s">
        <v>375</v>
      </c>
      <c r="B132" s="47" t="s">
        <v>39</v>
      </c>
      <c r="C132" s="45" t="s">
        <v>620</v>
      </c>
      <c r="D132" s="45" t="s">
        <v>621</v>
      </c>
      <c r="E132" s="45" t="s">
        <v>17</v>
      </c>
      <c r="F132" s="48" t="s">
        <v>17</v>
      </c>
      <c r="G132" s="45">
        <f t="shared" si="4"/>
        <v>1</v>
      </c>
    </row>
    <row r="133" spans="1:7">
      <c r="A133" s="46" t="s">
        <v>378</v>
      </c>
      <c r="B133" s="47" t="s">
        <v>39</v>
      </c>
      <c r="C133" s="45" t="s">
        <v>620</v>
      </c>
      <c r="D133" s="45" t="s">
        <v>621</v>
      </c>
      <c r="E133" s="45" t="s">
        <v>11</v>
      </c>
      <c r="F133" s="48" t="s">
        <v>11</v>
      </c>
      <c r="G133" s="45">
        <f t="shared" si="4"/>
        <v>1</v>
      </c>
    </row>
    <row r="134" spans="1:7">
      <c r="A134" s="46" t="s">
        <v>381</v>
      </c>
      <c r="B134" s="47" t="s">
        <v>39</v>
      </c>
      <c r="C134" s="45" t="s">
        <v>620</v>
      </c>
      <c r="D134" s="45" t="s">
        <v>621</v>
      </c>
      <c r="E134" s="45" t="s">
        <v>17</v>
      </c>
      <c r="F134" s="48" t="s">
        <v>17</v>
      </c>
      <c r="G134" s="45">
        <f t="shared" si="4"/>
        <v>1</v>
      </c>
    </row>
    <row r="135" spans="1:7">
      <c r="A135" s="46" t="s">
        <v>383</v>
      </c>
      <c r="B135" s="47" t="s">
        <v>39</v>
      </c>
      <c r="C135" s="45" t="s">
        <v>620</v>
      </c>
      <c r="D135" s="45" t="s">
        <v>621</v>
      </c>
      <c r="E135" s="45" t="s">
        <v>11</v>
      </c>
      <c r="F135" s="48" t="s">
        <v>11</v>
      </c>
      <c r="G135" s="45">
        <f t="shared" si="4"/>
        <v>1</v>
      </c>
    </row>
    <row r="136" spans="1:7">
      <c r="A136" s="46" t="s">
        <v>386</v>
      </c>
      <c r="B136" s="47" t="s">
        <v>39</v>
      </c>
      <c r="C136" s="45" t="s">
        <v>620</v>
      </c>
      <c r="D136" s="45" t="s">
        <v>621</v>
      </c>
      <c r="E136" s="45" t="s">
        <v>17</v>
      </c>
      <c r="F136" s="48" t="s">
        <v>26</v>
      </c>
      <c r="G136" s="45">
        <f t="shared" si="4"/>
        <v>0</v>
      </c>
    </row>
    <row r="137" spans="1:7">
      <c r="A137" s="46" t="s">
        <v>388</v>
      </c>
      <c r="B137" s="47" t="s">
        <v>39</v>
      </c>
      <c r="C137" s="45" t="s">
        <v>620</v>
      </c>
      <c r="D137" s="45" t="s">
        <v>621</v>
      </c>
      <c r="E137" s="45" t="s">
        <v>11</v>
      </c>
      <c r="F137" s="48" t="s">
        <v>17</v>
      </c>
      <c r="G137" s="45">
        <f t="shared" si="4"/>
        <v>0</v>
      </c>
    </row>
    <row r="138" spans="1:7">
      <c r="A138" s="46" t="s">
        <v>390</v>
      </c>
      <c r="B138" s="47" t="s">
        <v>39</v>
      </c>
      <c r="C138" s="45" t="s">
        <v>620</v>
      </c>
      <c r="D138" s="45" t="s">
        <v>621</v>
      </c>
      <c r="E138" s="45" t="s">
        <v>17</v>
      </c>
      <c r="F138" s="48" t="s">
        <v>17</v>
      </c>
      <c r="G138" s="45">
        <f t="shared" si="4"/>
        <v>1</v>
      </c>
    </row>
    <row r="139" spans="1:7">
      <c r="A139" s="46" t="s">
        <v>393</v>
      </c>
      <c r="B139" s="47" t="s">
        <v>39</v>
      </c>
      <c r="C139" s="45" t="s">
        <v>620</v>
      </c>
      <c r="D139" s="45" t="s">
        <v>621</v>
      </c>
      <c r="E139" s="45" t="s">
        <v>17</v>
      </c>
      <c r="F139" s="48" t="s">
        <v>11</v>
      </c>
      <c r="G139" s="45">
        <f t="shared" si="4"/>
        <v>0</v>
      </c>
    </row>
    <row r="140" spans="1:7">
      <c r="A140" s="46" t="s">
        <v>396</v>
      </c>
      <c r="B140" s="47" t="s">
        <v>39</v>
      </c>
      <c r="C140" s="45" t="s">
        <v>620</v>
      </c>
      <c r="D140" s="45" t="s">
        <v>621</v>
      </c>
      <c r="E140" s="45" t="s">
        <v>11</v>
      </c>
      <c r="F140" s="48" t="s">
        <v>26</v>
      </c>
      <c r="G140" s="45">
        <f t="shared" si="4"/>
        <v>0</v>
      </c>
    </row>
    <row r="141" spans="1:7">
      <c r="A141" s="46" t="s">
        <v>399</v>
      </c>
      <c r="B141" s="47" t="s">
        <v>69</v>
      </c>
      <c r="C141" s="45" t="s">
        <v>620</v>
      </c>
      <c r="D141" s="45" t="s">
        <v>621</v>
      </c>
      <c r="E141" s="45" t="s">
        <v>11</v>
      </c>
      <c r="F141" s="48" t="s">
        <v>17</v>
      </c>
      <c r="G141" s="45">
        <f t="shared" si="4"/>
        <v>0</v>
      </c>
    </row>
    <row r="142" spans="1:7">
      <c r="A142" s="46" t="s">
        <v>401</v>
      </c>
      <c r="B142" s="47" t="s">
        <v>69</v>
      </c>
      <c r="C142" s="45" t="s">
        <v>620</v>
      </c>
      <c r="D142" s="45" t="s">
        <v>621</v>
      </c>
      <c r="E142" s="45" t="s">
        <v>30</v>
      </c>
      <c r="F142" s="48" t="s">
        <v>26</v>
      </c>
      <c r="G142" s="45">
        <f t="shared" si="4"/>
        <v>0</v>
      </c>
    </row>
    <row r="143" spans="1:7">
      <c r="A143" s="46" t="s">
        <v>404</v>
      </c>
      <c r="B143" s="47" t="s">
        <v>69</v>
      </c>
      <c r="C143" s="45" t="s">
        <v>620</v>
      </c>
      <c r="D143" s="45" t="s">
        <v>621</v>
      </c>
      <c r="E143" s="45" t="s">
        <v>17</v>
      </c>
      <c r="F143" s="48" t="s">
        <v>17</v>
      </c>
      <c r="G143" s="45">
        <f t="shared" si="4"/>
        <v>1</v>
      </c>
    </row>
    <row r="144" spans="1:7">
      <c r="A144" s="46" t="s">
        <v>407</v>
      </c>
      <c r="B144" s="47" t="s">
        <v>69</v>
      </c>
      <c r="C144" s="45" t="s">
        <v>620</v>
      </c>
      <c r="D144" s="45" t="s">
        <v>621</v>
      </c>
      <c r="E144" s="45" t="s">
        <v>11</v>
      </c>
      <c r="F144" s="48" t="s">
        <v>83</v>
      </c>
      <c r="G144" s="45">
        <f t="shared" si="4"/>
        <v>0</v>
      </c>
    </row>
    <row r="145" spans="1:7">
      <c r="A145" s="46" t="s">
        <v>410</v>
      </c>
      <c r="B145" s="47" t="s">
        <v>69</v>
      </c>
      <c r="C145" s="45" t="s">
        <v>620</v>
      </c>
      <c r="D145" s="45" t="s">
        <v>621</v>
      </c>
      <c r="E145" s="45" t="s">
        <v>26</v>
      </c>
      <c r="F145" s="48" t="s">
        <v>26</v>
      </c>
      <c r="G145" s="45">
        <f t="shared" si="4"/>
        <v>1</v>
      </c>
    </row>
    <row r="146" spans="1:7">
      <c r="A146" s="46" t="s">
        <v>413</v>
      </c>
      <c r="B146" s="47" t="s">
        <v>69</v>
      </c>
      <c r="C146" s="45" t="s">
        <v>620</v>
      </c>
      <c r="D146" s="45" t="s">
        <v>621</v>
      </c>
      <c r="E146" s="45" t="s">
        <v>11</v>
      </c>
      <c r="F146" s="48" t="s">
        <v>26</v>
      </c>
      <c r="G146" s="45">
        <f t="shared" si="4"/>
        <v>0</v>
      </c>
    </row>
    <row r="147" spans="1:7">
      <c r="A147" s="46" t="s">
        <v>416</v>
      </c>
      <c r="B147" s="47" t="s">
        <v>69</v>
      </c>
      <c r="C147" s="45" t="s">
        <v>620</v>
      </c>
      <c r="D147" s="45" t="s">
        <v>621</v>
      </c>
      <c r="E147" s="45" t="s">
        <v>26</v>
      </c>
      <c r="F147" s="48" t="s">
        <v>30</v>
      </c>
      <c r="G147" s="45">
        <f t="shared" si="4"/>
        <v>0</v>
      </c>
    </row>
    <row r="148" spans="1:7">
      <c r="A148" s="46" t="s">
        <v>419</v>
      </c>
      <c r="B148" s="47" t="s">
        <v>69</v>
      </c>
      <c r="C148" s="45" t="s">
        <v>620</v>
      </c>
      <c r="D148" s="45" t="s">
        <v>621</v>
      </c>
      <c r="E148" s="45" t="s">
        <v>30</v>
      </c>
      <c r="F148" s="48" t="s">
        <v>30</v>
      </c>
      <c r="G148" s="45">
        <f t="shared" si="4"/>
        <v>1</v>
      </c>
    </row>
    <row r="149" spans="1:7">
      <c r="A149" s="46" t="s">
        <v>422</v>
      </c>
      <c r="B149" s="47" t="s">
        <v>69</v>
      </c>
      <c r="C149" s="45" t="s">
        <v>620</v>
      </c>
      <c r="D149" s="45" t="s">
        <v>621</v>
      </c>
      <c r="E149" s="45" t="s">
        <v>11</v>
      </c>
      <c r="F149" s="48" t="s">
        <v>26</v>
      </c>
      <c r="G149" s="45">
        <f t="shared" si="4"/>
        <v>0</v>
      </c>
    </row>
    <row r="150" spans="1:7">
      <c r="A150" s="46" t="s">
        <v>425</v>
      </c>
      <c r="B150" s="47" t="s">
        <v>69</v>
      </c>
      <c r="C150" s="45" t="s">
        <v>620</v>
      </c>
      <c r="D150" s="45" t="s">
        <v>621</v>
      </c>
      <c r="E150" s="45" t="s">
        <v>30</v>
      </c>
      <c r="F150" s="48" t="s">
        <v>11</v>
      </c>
      <c r="G150" s="45">
        <f t="shared" si="4"/>
        <v>0</v>
      </c>
    </row>
    <row r="151" spans="1:7">
      <c r="A151" s="46" t="s">
        <v>428</v>
      </c>
      <c r="B151" s="47" t="s">
        <v>69</v>
      </c>
      <c r="C151" s="45" t="s">
        <v>620</v>
      </c>
      <c r="D151" s="45" t="s">
        <v>621</v>
      </c>
      <c r="E151" s="45" t="s">
        <v>11</v>
      </c>
      <c r="F151" s="48" t="s">
        <v>26</v>
      </c>
      <c r="G151" s="45">
        <f t="shared" si="4"/>
        <v>0</v>
      </c>
    </row>
    <row r="152" spans="1:7">
      <c r="A152" s="46" t="s">
        <v>431</v>
      </c>
      <c r="B152" s="47" t="s">
        <v>69</v>
      </c>
      <c r="C152" s="45" t="s">
        <v>620</v>
      </c>
      <c r="D152" s="45" t="s">
        <v>621</v>
      </c>
      <c r="E152" s="45" t="s">
        <v>30</v>
      </c>
      <c r="F152" s="48" t="s">
        <v>26</v>
      </c>
      <c r="G152" s="45">
        <f t="shared" si="4"/>
        <v>0</v>
      </c>
    </row>
    <row r="153" spans="1:7">
      <c r="A153" s="46" t="s">
        <v>434</v>
      </c>
      <c r="B153" s="47" t="s">
        <v>69</v>
      </c>
      <c r="C153" s="45" t="s">
        <v>620</v>
      </c>
      <c r="D153" s="45" t="s">
        <v>621</v>
      </c>
      <c r="E153" s="45" t="s">
        <v>17</v>
      </c>
      <c r="F153" s="48" t="s">
        <v>17</v>
      </c>
      <c r="G153" s="45">
        <f t="shared" si="4"/>
        <v>1</v>
      </c>
    </row>
    <row r="154" spans="1:7">
      <c r="A154" s="46" t="s">
        <v>437</v>
      </c>
      <c r="B154" s="47" t="s">
        <v>69</v>
      </c>
      <c r="C154" s="45" t="s">
        <v>620</v>
      </c>
      <c r="D154" s="45" t="s">
        <v>621</v>
      </c>
      <c r="E154" s="45" t="s">
        <v>26</v>
      </c>
      <c r="F154" s="48" t="s">
        <v>26</v>
      </c>
      <c r="G154" s="45">
        <f t="shared" si="4"/>
        <v>1</v>
      </c>
    </row>
    <row r="155" spans="1:7">
      <c r="A155" s="46" t="s">
        <v>440</v>
      </c>
      <c r="B155" s="47" t="s">
        <v>69</v>
      </c>
      <c r="C155" s="45" t="s">
        <v>620</v>
      </c>
      <c r="D155" s="45" t="s">
        <v>621</v>
      </c>
      <c r="E155" s="45" t="s">
        <v>17</v>
      </c>
      <c r="F155" s="48" t="s">
        <v>30</v>
      </c>
      <c r="G155" s="45">
        <f t="shared" si="4"/>
        <v>0</v>
      </c>
    </row>
    <row r="156" spans="1:7">
      <c r="A156" s="50" t="s">
        <v>443</v>
      </c>
      <c r="B156" s="51" t="s">
        <v>69</v>
      </c>
      <c r="C156" s="45" t="s">
        <v>620</v>
      </c>
      <c r="D156" s="45" t="s">
        <v>621</v>
      </c>
      <c r="E156" s="45" t="s">
        <v>26</v>
      </c>
      <c r="F156" s="52" t="s">
        <v>26</v>
      </c>
      <c r="G156" s="45">
        <f t="shared" si="4"/>
        <v>1</v>
      </c>
    </row>
    <row r="157" spans="1:7">
      <c r="A157" s="21" t="s">
        <v>446</v>
      </c>
      <c r="B157" s="21" t="s">
        <v>135</v>
      </c>
      <c r="C157" s="45" t="s">
        <v>620</v>
      </c>
      <c r="D157" s="21" t="s">
        <v>626</v>
      </c>
      <c r="E157" s="42" t="s">
        <v>628</v>
      </c>
      <c r="F157" s="42">
        <v>-2</v>
      </c>
      <c r="G157" s="43">
        <v>1</v>
      </c>
    </row>
    <row r="158" spans="1:7">
      <c r="A158" s="21" t="s">
        <v>449</v>
      </c>
      <c r="B158" s="21" t="s">
        <v>135</v>
      </c>
      <c r="C158" s="45" t="s">
        <v>620</v>
      </c>
      <c r="D158" s="21" t="s">
        <v>626</v>
      </c>
      <c r="E158" s="42" t="s">
        <v>629</v>
      </c>
      <c r="F158" s="42" t="s">
        <v>451</v>
      </c>
      <c r="G158" s="43">
        <v>1</v>
      </c>
    </row>
    <row r="159" spans="1:7">
      <c r="A159" s="21" t="s">
        <v>452</v>
      </c>
      <c r="B159" s="21" t="s">
        <v>135</v>
      </c>
      <c r="C159" s="45" t="s">
        <v>620</v>
      </c>
      <c r="D159" s="21" t="s">
        <v>626</v>
      </c>
      <c r="E159" s="44" t="s">
        <v>630</v>
      </c>
      <c r="F159" s="44" t="s">
        <v>630</v>
      </c>
      <c r="G159" s="43">
        <v>1</v>
      </c>
    </row>
    <row r="160" spans="1:7">
      <c r="A160" s="21" t="s">
        <v>455</v>
      </c>
      <c r="B160" s="21" t="s">
        <v>135</v>
      </c>
      <c r="C160" s="45" t="s">
        <v>620</v>
      </c>
      <c r="D160" s="21" t="s">
        <v>626</v>
      </c>
      <c r="E160" s="42" t="s">
        <v>457</v>
      </c>
      <c r="F160" s="42" t="s">
        <v>457</v>
      </c>
      <c r="G160" s="43">
        <v>1</v>
      </c>
    </row>
    <row r="161" spans="1:7">
      <c r="A161" s="21" t="s">
        <v>458</v>
      </c>
      <c r="B161" s="21" t="s">
        <v>135</v>
      </c>
      <c r="C161" s="45" t="s">
        <v>620</v>
      </c>
      <c r="D161" s="21" t="s">
        <v>626</v>
      </c>
      <c r="E161" s="44" t="s">
        <v>460</v>
      </c>
      <c r="F161" s="44" t="s">
        <v>460</v>
      </c>
      <c r="G161" s="43">
        <v>1</v>
      </c>
    </row>
    <row r="162" spans="1:7">
      <c r="A162" s="21" t="s">
        <v>461</v>
      </c>
      <c r="B162" s="21" t="s">
        <v>135</v>
      </c>
      <c r="C162" s="45" t="s">
        <v>620</v>
      </c>
      <c r="D162" s="21" t="s">
        <v>626</v>
      </c>
      <c r="E162" s="42" t="s">
        <v>631</v>
      </c>
      <c r="F162" s="42" t="s">
        <v>463</v>
      </c>
      <c r="G162" s="43">
        <v>1</v>
      </c>
    </row>
    <row r="163" spans="1:7">
      <c r="A163" s="21" t="s">
        <v>464</v>
      </c>
      <c r="B163" s="21" t="s">
        <v>135</v>
      </c>
      <c r="C163" s="45" t="s">
        <v>620</v>
      </c>
      <c r="D163" s="21" t="s">
        <v>626</v>
      </c>
      <c r="E163" s="42" t="s">
        <v>466</v>
      </c>
      <c r="F163" s="42" t="s">
        <v>466</v>
      </c>
      <c r="G163" s="43">
        <v>1</v>
      </c>
    </row>
    <row r="164" spans="1:7">
      <c r="A164" s="21" t="s">
        <v>467</v>
      </c>
      <c r="B164" s="21" t="s">
        <v>135</v>
      </c>
      <c r="C164" s="45" t="s">
        <v>620</v>
      </c>
      <c r="D164" s="21" t="s">
        <v>626</v>
      </c>
      <c r="E164" s="42" t="s">
        <v>469</v>
      </c>
      <c r="F164" s="42" t="s">
        <v>469</v>
      </c>
      <c r="G164" s="43">
        <v>1</v>
      </c>
    </row>
    <row r="165" spans="1:7">
      <c r="A165" s="21" t="s">
        <v>470</v>
      </c>
      <c r="B165" s="21" t="s">
        <v>135</v>
      </c>
      <c r="C165" s="45" t="s">
        <v>620</v>
      </c>
      <c r="D165" s="21" t="s">
        <v>626</v>
      </c>
      <c r="E165" s="42" t="s">
        <v>472</v>
      </c>
      <c r="F165" s="42" t="s">
        <v>472</v>
      </c>
      <c r="G165" s="43">
        <v>1</v>
      </c>
    </row>
    <row r="166" ht="46.8" spans="1:7">
      <c r="A166" s="21" t="s">
        <v>473</v>
      </c>
      <c r="B166" s="21" t="s">
        <v>135</v>
      </c>
      <c r="C166" s="45" t="s">
        <v>620</v>
      </c>
      <c r="D166" s="21" t="s">
        <v>626</v>
      </c>
      <c r="E166" s="42" t="s">
        <v>475</v>
      </c>
      <c r="F166" s="42" t="s">
        <v>475</v>
      </c>
      <c r="G166" s="43">
        <v>1</v>
      </c>
    </row>
    <row r="167" spans="1:7">
      <c r="A167" s="21" t="s">
        <v>476</v>
      </c>
      <c r="B167" s="21" t="s">
        <v>135</v>
      </c>
      <c r="C167" s="45" t="s">
        <v>620</v>
      </c>
      <c r="D167" s="21" t="s">
        <v>626</v>
      </c>
      <c r="E167" s="42" t="s">
        <v>628</v>
      </c>
      <c r="F167" s="42">
        <v>-2</v>
      </c>
      <c r="G167" s="43">
        <v>1</v>
      </c>
    </row>
    <row r="168" spans="1:7">
      <c r="A168" s="21" t="s">
        <v>478</v>
      </c>
      <c r="B168" s="21" t="s">
        <v>135</v>
      </c>
      <c r="C168" s="45" t="s">
        <v>620</v>
      </c>
      <c r="D168" s="21" t="s">
        <v>626</v>
      </c>
      <c r="E168" s="42" t="s">
        <v>480</v>
      </c>
      <c r="F168" s="42" t="s">
        <v>480</v>
      </c>
      <c r="G168" s="43">
        <v>1</v>
      </c>
    </row>
    <row r="169" spans="1:7">
      <c r="A169" s="21" t="s">
        <v>481</v>
      </c>
      <c r="B169" s="21" t="s">
        <v>135</v>
      </c>
      <c r="C169" s="45" t="s">
        <v>620</v>
      </c>
      <c r="D169" s="21" t="s">
        <v>626</v>
      </c>
      <c r="E169" s="42" t="s">
        <v>483</v>
      </c>
      <c r="F169" s="42" t="s">
        <v>483</v>
      </c>
      <c r="G169" s="43">
        <v>1</v>
      </c>
    </row>
    <row r="170" spans="1:7">
      <c r="A170" s="21" t="s">
        <v>484</v>
      </c>
      <c r="B170" s="21" t="s">
        <v>135</v>
      </c>
      <c r="C170" s="45" t="s">
        <v>620</v>
      </c>
      <c r="D170" s="21" t="s">
        <v>626</v>
      </c>
      <c r="E170" s="42" t="s">
        <v>632</v>
      </c>
      <c r="F170" s="42">
        <v>504</v>
      </c>
      <c r="G170" s="43">
        <v>1</v>
      </c>
    </row>
    <row r="171" spans="1:7">
      <c r="A171" s="21" t="s">
        <v>486</v>
      </c>
      <c r="B171" s="21" t="s">
        <v>135</v>
      </c>
      <c r="C171" s="45" t="s">
        <v>620</v>
      </c>
      <c r="D171" s="21" t="s">
        <v>626</v>
      </c>
      <c r="E171" s="42" t="s">
        <v>488</v>
      </c>
      <c r="F171" s="42" t="s">
        <v>488</v>
      </c>
      <c r="G171" s="45">
        <v>1</v>
      </c>
    </row>
    <row r="172" spans="1:7">
      <c r="A172" s="21" t="s">
        <v>489</v>
      </c>
      <c r="B172" s="21" t="s">
        <v>135</v>
      </c>
      <c r="C172" s="45" t="s">
        <v>620</v>
      </c>
      <c r="D172" s="21" t="s">
        <v>626</v>
      </c>
      <c r="E172" s="42" t="s">
        <v>491</v>
      </c>
      <c r="F172" s="42" t="s">
        <v>491</v>
      </c>
      <c r="G172" s="43">
        <v>1</v>
      </c>
    </row>
    <row r="173" spans="1:7">
      <c r="A173" s="21" t="s">
        <v>492</v>
      </c>
      <c r="B173" s="21" t="s">
        <v>135</v>
      </c>
      <c r="C173" s="45" t="s">
        <v>620</v>
      </c>
      <c r="D173" s="21" t="s">
        <v>626</v>
      </c>
      <c r="E173" s="42">
        <v>6298.56</v>
      </c>
      <c r="F173" s="42">
        <v>6298.56</v>
      </c>
      <c r="G173" s="43">
        <v>1</v>
      </c>
    </row>
    <row r="174" spans="1:7">
      <c r="A174" s="21" t="s">
        <v>494</v>
      </c>
      <c r="B174" s="21" t="s">
        <v>135</v>
      </c>
      <c r="C174" s="45" t="s">
        <v>620</v>
      </c>
      <c r="D174" s="21" t="s">
        <v>626</v>
      </c>
      <c r="E174" s="42" t="s">
        <v>496</v>
      </c>
      <c r="F174" s="42" t="s">
        <v>496</v>
      </c>
      <c r="G174" s="43">
        <v>1</v>
      </c>
    </row>
    <row r="175" spans="1:7">
      <c r="A175" s="21" t="s">
        <v>497</v>
      </c>
      <c r="B175" s="21" t="s">
        <v>135</v>
      </c>
      <c r="C175" s="45" t="s">
        <v>620</v>
      </c>
      <c r="D175" s="21" t="s">
        <v>626</v>
      </c>
      <c r="E175" s="42" t="s">
        <v>633</v>
      </c>
      <c r="F175" s="42" t="s">
        <v>633</v>
      </c>
      <c r="G175" s="43">
        <v>1</v>
      </c>
    </row>
    <row r="176" spans="1:7">
      <c r="A176" s="21" t="s">
        <v>500</v>
      </c>
      <c r="B176" s="21" t="s">
        <v>135</v>
      </c>
      <c r="C176" s="45" t="s">
        <v>620</v>
      </c>
      <c r="D176" s="21" t="s">
        <v>626</v>
      </c>
      <c r="E176" s="42">
        <v>4</v>
      </c>
      <c r="F176" s="42">
        <v>4</v>
      </c>
      <c r="G176" s="43">
        <v>1</v>
      </c>
    </row>
    <row r="177" spans="1:7">
      <c r="A177" s="21" t="s">
        <v>502</v>
      </c>
      <c r="B177" s="21" t="s">
        <v>135</v>
      </c>
      <c r="C177" s="45" t="s">
        <v>620</v>
      </c>
      <c r="D177" s="21" t="s">
        <v>626</v>
      </c>
      <c r="E177" s="54" t="s">
        <v>634</v>
      </c>
      <c r="F177" s="42" t="s">
        <v>635</v>
      </c>
      <c r="G177" s="43">
        <v>1</v>
      </c>
    </row>
    <row r="178" ht="31.2" spans="1:7">
      <c r="A178" s="21" t="s">
        <v>505</v>
      </c>
      <c r="B178" s="21" t="s">
        <v>135</v>
      </c>
      <c r="C178" s="45" t="s">
        <v>620</v>
      </c>
      <c r="D178" s="21" t="s">
        <v>626</v>
      </c>
      <c r="E178" s="42" t="s">
        <v>636</v>
      </c>
      <c r="F178" s="42" t="s">
        <v>507</v>
      </c>
      <c r="G178" s="43">
        <v>0</v>
      </c>
    </row>
    <row r="179" spans="1:7">
      <c r="A179" s="21" t="s">
        <v>508</v>
      </c>
      <c r="B179" s="21" t="s">
        <v>135</v>
      </c>
      <c r="C179" s="45" t="s">
        <v>620</v>
      </c>
      <c r="D179" s="21" t="s">
        <v>626</v>
      </c>
      <c r="E179" s="42" t="s">
        <v>637</v>
      </c>
      <c r="F179" s="42" t="s">
        <v>510</v>
      </c>
      <c r="G179" s="43">
        <v>0</v>
      </c>
    </row>
    <row r="180" spans="1:7">
      <c r="A180" s="21" t="s">
        <v>511</v>
      </c>
      <c r="B180" s="21" t="s">
        <v>135</v>
      </c>
      <c r="C180" s="45" t="s">
        <v>620</v>
      </c>
      <c r="D180" s="21" t="s">
        <v>626</v>
      </c>
      <c r="E180" s="44" t="s">
        <v>513</v>
      </c>
      <c r="F180" s="44" t="s">
        <v>513</v>
      </c>
      <c r="G180" s="43">
        <v>1</v>
      </c>
    </row>
    <row r="181" spans="1:7">
      <c r="A181" s="21" t="s">
        <v>514</v>
      </c>
      <c r="B181" s="21" t="s">
        <v>135</v>
      </c>
      <c r="C181" s="45" t="s">
        <v>620</v>
      </c>
      <c r="D181" s="21" t="s">
        <v>626</v>
      </c>
      <c r="E181" s="44" t="s">
        <v>516</v>
      </c>
      <c r="F181" s="44" t="s">
        <v>516</v>
      </c>
      <c r="G181" s="43">
        <v>1</v>
      </c>
    </row>
    <row r="182" spans="1:7">
      <c r="A182" s="21" t="s">
        <v>517</v>
      </c>
      <c r="B182" s="21" t="s">
        <v>135</v>
      </c>
      <c r="C182" s="45" t="s">
        <v>620</v>
      </c>
      <c r="D182" s="21" t="s">
        <v>626</v>
      </c>
      <c r="E182" s="21" t="s">
        <v>638</v>
      </c>
      <c r="F182" s="42" t="s">
        <v>519</v>
      </c>
      <c r="G182" s="43">
        <v>0</v>
      </c>
    </row>
    <row r="183" spans="1:7">
      <c r="A183" s="21" t="s">
        <v>520</v>
      </c>
      <c r="B183" s="21" t="s">
        <v>135</v>
      </c>
      <c r="C183" s="45" t="s">
        <v>620</v>
      </c>
      <c r="D183" s="21" t="s">
        <v>626</v>
      </c>
      <c r="E183" s="44" t="s">
        <v>522</v>
      </c>
      <c r="F183" s="44" t="s">
        <v>522</v>
      </c>
      <c r="G183" s="43">
        <v>1</v>
      </c>
    </row>
    <row r="184" spans="1:7">
      <c r="A184" s="21" t="s">
        <v>523</v>
      </c>
      <c r="B184" s="21" t="s">
        <v>135</v>
      </c>
      <c r="C184" s="45" t="s">
        <v>620</v>
      </c>
      <c r="D184" s="21" t="s">
        <v>626</v>
      </c>
      <c r="E184" s="42" t="s">
        <v>639</v>
      </c>
      <c r="F184" s="42">
        <v>22</v>
      </c>
      <c r="G184" s="43">
        <v>1</v>
      </c>
    </row>
    <row r="185" spans="1:7">
      <c r="A185" s="21" t="s">
        <v>525</v>
      </c>
      <c r="B185" s="21" t="s">
        <v>135</v>
      </c>
      <c r="C185" s="45" t="s">
        <v>620</v>
      </c>
      <c r="D185" s="21" t="s">
        <v>626</v>
      </c>
      <c r="E185" s="42" t="s">
        <v>527</v>
      </c>
      <c r="F185" s="42" t="s">
        <v>527</v>
      </c>
      <c r="G185" s="43">
        <v>1</v>
      </c>
    </row>
    <row r="186" spans="1:7">
      <c r="A186" s="21" t="s">
        <v>528</v>
      </c>
      <c r="B186" s="21" t="s">
        <v>135</v>
      </c>
      <c r="C186" s="45" t="s">
        <v>620</v>
      </c>
      <c r="D186" s="21" t="s">
        <v>626</v>
      </c>
      <c r="E186" s="42" t="s">
        <v>530</v>
      </c>
      <c r="F186" s="42" t="s">
        <v>530</v>
      </c>
      <c r="G186" s="43">
        <v>1</v>
      </c>
    </row>
    <row r="187" spans="1:7">
      <c r="A187" s="21" t="s">
        <v>531</v>
      </c>
      <c r="B187" s="21" t="s">
        <v>135</v>
      </c>
      <c r="C187" s="45" t="s">
        <v>620</v>
      </c>
      <c r="D187" s="21" t="s">
        <v>626</v>
      </c>
      <c r="E187" s="44" t="s">
        <v>533</v>
      </c>
      <c r="F187" s="44" t="s">
        <v>533</v>
      </c>
      <c r="G187" s="43">
        <v>1</v>
      </c>
    </row>
    <row r="188" spans="1:7">
      <c r="A188" s="21" t="s">
        <v>534</v>
      </c>
      <c r="B188" s="21" t="s">
        <v>135</v>
      </c>
      <c r="C188" s="45" t="s">
        <v>620</v>
      </c>
      <c r="D188" s="21" t="s">
        <v>626</v>
      </c>
      <c r="E188" s="44" t="s">
        <v>640</v>
      </c>
      <c r="F188" s="44" t="s">
        <v>640</v>
      </c>
      <c r="G188" s="43">
        <v>1</v>
      </c>
    </row>
    <row r="189" spans="1:7">
      <c r="A189" s="21" t="s">
        <v>537</v>
      </c>
      <c r="B189" s="21" t="s">
        <v>135</v>
      </c>
      <c r="C189" s="45" t="s">
        <v>620</v>
      </c>
      <c r="D189" s="21" t="s">
        <v>626</v>
      </c>
      <c r="E189" s="42" t="s">
        <v>641</v>
      </c>
      <c r="F189" s="44" t="s">
        <v>539</v>
      </c>
      <c r="G189" s="43">
        <v>0</v>
      </c>
    </row>
    <row r="190" spans="1:7">
      <c r="A190" s="21" t="s">
        <v>540</v>
      </c>
      <c r="B190" s="21" t="s">
        <v>135</v>
      </c>
      <c r="C190" s="45" t="s">
        <v>620</v>
      </c>
      <c r="D190" s="21" t="s">
        <v>626</v>
      </c>
      <c r="E190" s="42" t="s">
        <v>642</v>
      </c>
      <c r="F190" s="42" t="s">
        <v>542</v>
      </c>
      <c r="G190" s="43">
        <v>0</v>
      </c>
    </row>
    <row r="191" spans="1:7">
      <c r="A191" s="21" t="s">
        <v>543</v>
      </c>
      <c r="B191" s="21" t="s">
        <v>135</v>
      </c>
      <c r="C191" s="45" t="s">
        <v>620</v>
      </c>
      <c r="D191" s="21" t="s">
        <v>626</v>
      </c>
      <c r="E191" s="44" t="s">
        <v>545</v>
      </c>
      <c r="F191" s="44" t="s">
        <v>545</v>
      </c>
      <c r="G191" s="43">
        <v>1</v>
      </c>
    </row>
    <row r="192" spans="1:7">
      <c r="A192" s="21" t="s">
        <v>546</v>
      </c>
      <c r="B192" s="21" t="s">
        <v>135</v>
      </c>
      <c r="C192" s="45" t="s">
        <v>620</v>
      </c>
      <c r="D192" s="21" t="s">
        <v>626</v>
      </c>
      <c r="E192" s="42" t="s">
        <v>548</v>
      </c>
      <c r="F192" s="42" t="s">
        <v>548</v>
      </c>
      <c r="G192" s="43">
        <v>1</v>
      </c>
    </row>
    <row r="193" spans="1:7">
      <c r="A193" s="21" t="s">
        <v>549</v>
      </c>
      <c r="B193" s="21" t="s">
        <v>135</v>
      </c>
      <c r="C193" s="45" t="s">
        <v>620</v>
      </c>
      <c r="D193" s="21" t="s">
        <v>626</v>
      </c>
      <c r="E193" s="44" t="s">
        <v>551</v>
      </c>
      <c r="F193" s="44" t="s">
        <v>551</v>
      </c>
      <c r="G193" s="43">
        <v>1</v>
      </c>
    </row>
    <row r="194" spans="1:7">
      <c r="A194" s="21" t="s">
        <v>552</v>
      </c>
      <c r="B194" s="21" t="s">
        <v>135</v>
      </c>
      <c r="C194" s="45" t="s">
        <v>620</v>
      </c>
      <c r="D194" s="21" t="s">
        <v>626</v>
      </c>
      <c r="E194" s="42" t="s">
        <v>554</v>
      </c>
      <c r="F194" s="42" t="s">
        <v>554</v>
      </c>
      <c r="G194" s="43">
        <v>1</v>
      </c>
    </row>
    <row r="195" spans="1:7">
      <c r="A195" s="21" t="s">
        <v>555</v>
      </c>
      <c r="B195" s="21" t="s">
        <v>135</v>
      </c>
      <c r="C195" s="45" t="s">
        <v>620</v>
      </c>
      <c r="D195" s="21" t="s">
        <v>626</v>
      </c>
      <c r="E195" s="42" t="s">
        <v>643</v>
      </c>
      <c r="F195" s="42">
        <v>8</v>
      </c>
      <c r="G195" s="43">
        <v>0</v>
      </c>
    </row>
    <row r="196" spans="1:7">
      <c r="A196" s="21" t="s">
        <v>557</v>
      </c>
      <c r="B196" s="21" t="s">
        <v>135</v>
      </c>
      <c r="C196" s="45" t="s">
        <v>620</v>
      </c>
      <c r="D196" s="21" t="s">
        <v>626</v>
      </c>
      <c r="E196" s="44" t="s">
        <v>559</v>
      </c>
      <c r="F196" s="44" t="s">
        <v>559</v>
      </c>
      <c r="G196" s="43">
        <v>1</v>
      </c>
    </row>
    <row r="197" spans="1:7">
      <c r="A197" s="21" t="s">
        <v>560</v>
      </c>
      <c r="B197" s="21" t="s">
        <v>135</v>
      </c>
      <c r="C197" s="45" t="s">
        <v>620</v>
      </c>
      <c r="D197" s="21" t="s">
        <v>626</v>
      </c>
      <c r="E197" s="42" t="s">
        <v>562</v>
      </c>
      <c r="F197" s="42" t="s">
        <v>562</v>
      </c>
      <c r="G197" s="43">
        <v>1</v>
      </c>
    </row>
    <row r="198" spans="1:7">
      <c r="A198" s="21" t="s">
        <v>563</v>
      </c>
      <c r="B198" s="21" t="s">
        <v>135</v>
      </c>
      <c r="C198" s="45" t="s">
        <v>620</v>
      </c>
      <c r="D198" s="21" t="s">
        <v>626</v>
      </c>
      <c r="E198" s="21" t="s">
        <v>644</v>
      </c>
      <c r="F198" s="42" t="s">
        <v>565</v>
      </c>
      <c r="G198" s="43">
        <v>0</v>
      </c>
    </row>
    <row r="199" spans="1:7">
      <c r="A199" s="21" t="s">
        <v>566</v>
      </c>
      <c r="B199" s="21" t="s">
        <v>135</v>
      </c>
      <c r="C199" s="45" t="s">
        <v>620</v>
      </c>
      <c r="D199" s="21" t="s">
        <v>626</v>
      </c>
      <c r="E199" s="42" t="s">
        <v>645</v>
      </c>
      <c r="F199" s="42">
        <v>6</v>
      </c>
      <c r="G199" s="43">
        <v>1</v>
      </c>
    </row>
    <row r="200" spans="1:7">
      <c r="A200" s="21" t="s">
        <v>568</v>
      </c>
      <c r="B200" s="21" t="s">
        <v>135</v>
      </c>
      <c r="C200" s="45" t="s">
        <v>620</v>
      </c>
      <c r="D200" s="21" t="s">
        <v>626</v>
      </c>
      <c r="E200" s="44" t="s">
        <v>570</v>
      </c>
      <c r="F200" s="44" t="s">
        <v>570</v>
      </c>
      <c r="G200" s="43">
        <v>1</v>
      </c>
    </row>
    <row r="201" spans="1:7">
      <c r="A201" s="21" t="s">
        <v>571</v>
      </c>
      <c r="B201" s="21" t="s">
        <v>135</v>
      </c>
      <c r="C201" s="45" t="s">
        <v>620</v>
      </c>
      <c r="D201" s="21" t="s">
        <v>626</v>
      </c>
      <c r="E201" s="42" t="s">
        <v>573</v>
      </c>
      <c r="F201" s="42" t="s">
        <v>573</v>
      </c>
      <c r="G201" s="43">
        <v>1</v>
      </c>
    </row>
    <row r="202" spans="1:7">
      <c r="A202" s="21" t="s">
        <v>574</v>
      </c>
      <c r="B202" s="21" t="s">
        <v>135</v>
      </c>
      <c r="C202" s="45" t="s">
        <v>620</v>
      </c>
      <c r="D202" s="21" t="s">
        <v>626</v>
      </c>
      <c r="E202" s="42" t="s">
        <v>576</v>
      </c>
      <c r="F202" s="42" t="s">
        <v>576</v>
      </c>
      <c r="G202" s="43">
        <v>1</v>
      </c>
    </row>
    <row r="203" spans="1:7">
      <c r="A203" s="21" t="s">
        <v>577</v>
      </c>
      <c r="B203" s="21" t="s">
        <v>135</v>
      </c>
      <c r="C203" s="45" t="s">
        <v>620</v>
      </c>
      <c r="D203" s="21" t="s">
        <v>626</v>
      </c>
      <c r="E203" s="44" t="s">
        <v>646</v>
      </c>
      <c r="F203" s="42" t="s">
        <v>579</v>
      </c>
      <c r="G203" s="43">
        <v>1</v>
      </c>
    </row>
    <row r="204" spans="1:7">
      <c r="A204" s="21" t="s">
        <v>580</v>
      </c>
      <c r="B204" s="21" t="s">
        <v>135</v>
      </c>
      <c r="C204" s="45" t="s">
        <v>620</v>
      </c>
      <c r="D204" s="21" t="s">
        <v>626</v>
      </c>
      <c r="E204" s="42" t="s">
        <v>582</v>
      </c>
      <c r="F204" s="42" t="s">
        <v>582</v>
      </c>
      <c r="G204" s="43">
        <v>1</v>
      </c>
    </row>
    <row r="205" spans="1:7">
      <c r="A205" s="21" t="s">
        <v>583</v>
      </c>
      <c r="B205" s="21" t="s">
        <v>135</v>
      </c>
      <c r="C205" s="45" t="s">
        <v>620</v>
      </c>
      <c r="D205" s="21" t="s">
        <v>626</v>
      </c>
      <c r="E205" s="42" t="s">
        <v>647</v>
      </c>
      <c r="F205" s="42" t="s">
        <v>585</v>
      </c>
      <c r="G205" s="43">
        <v>0</v>
      </c>
    </row>
    <row r="206" ht="109.2" spans="1:7">
      <c r="A206" s="21" t="s">
        <v>586</v>
      </c>
      <c r="B206" s="21" t="s">
        <v>135</v>
      </c>
      <c r="C206" s="45" t="s">
        <v>620</v>
      </c>
      <c r="D206" s="21" t="s">
        <v>626</v>
      </c>
      <c r="E206" s="25" t="s">
        <v>648</v>
      </c>
      <c r="F206" s="42" t="s">
        <v>649</v>
      </c>
      <c r="G206" s="43">
        <v>1</v>
      </c>
    </row>
    <row r="207" spans="1:7">
      <c r="A207" s="21" t="s">
        <v>589</v>
      </c>
      <c r="B207" s="21" t="s">
        <v>135</v>
      </c>
      <c r="C207" s="45" t="s">
        <v>620</v>
      </c>
      <c r="D207" s="21" t="s">
        <v>626</v>
      </c>
      <c r="E207" s="42" t="s">
        <v>591</v>
      </c>
      <c r="F207" s="42" t="s">
        <v>591</v>
      </c>
      <c r="G207" s="43">
        <v>1</v>
      </c>
    </row>
    <row r="208" spans="1:7">
      <c r="A208" s="21" t="s">
        <v>592</v>
      </c>
      <c r="B208" s="21" t="s">
        <v>135</v>
      </c>
      <c r="C208" s="45" t="s">
        <v>620</v>
      </c>
      <c r="D208" s="21" t="s">
        <v>626</v>
      </c>
      <c r="E208" s="42" t="s">
        <v>582</v>
      </c>
      <c r="F208" s="42" t="s">
        <v>582</v>
      </c>
      <c r="G208" s="43">
        <v>1</v>
      </c>
    </row>
    <row r="209" spans="1:7">
      <c r="A209" s="21" t="s">
        <v>594</v>
      </c>
      <c r="B209" s="21" t="s">
        <v>135</v>
      </c>
      <c r="C209" s="45" t="s">
        <v>620</v>
      </c>
      <c r="D209" s="21" t="s">
        <v>626</v>
      </c>
      <c r="E209" s="44" t="s">
        <v>650</v>
      </c>
      <c r="F209" s="21" t="s">
        <v>596</v>
      </c>
      <c r="G209" s="43">
        <v>0</v>
      </c>
    </row>
    <row r="210" spans="1:7">
      <c r="A210" s="21" t="s">
        <v>597</v>
      </c>
      <c r="B210" s="21" t="s">
        <v>135</v>
      </c>
      <c r="C210" s="45" t="s">
        <v>620</v>
      </c>
      <c r="D210" s="21" t="s">
        <v>626</v>
      </c>
      <c r="E210" s="42" t="s">
        <v>530</v>
      </c>
      <c r="F210" s="42" t="s">
        <v>530</v>
      </c>
      <c r="G210" s="43">
        <v>1</v>
      </c>
    </row>
    <row r="211" spans="1:7">
      <c r="A211" s="21" t="s">
        <v>599</v>
      </c>
      <c r="B211" s="21" t="s">
        <v>135</v>
      </c>
      <c r="C211" s="45" t="s">
        <v>620</v>
      </c>
      <c r="D211" s="21" t="s">
        <v>626</v>
      </c>
      <c r="E211" s="42" t="s">
        <v>651</v>
      </c>
      <c r="F211" s="42" t="s">
        <v>601</v>
      </c>
      <c r="G211" s="43">
        <v>1</v>
      </c>
    </row>
    <row r="212" spans="1:7">
      <c r="A212" s="21" t="s">
        <v>602</v>
      </c>
      <c r="B212" s="21" t="s">
        <v>135</v>
      </c>
      <c r="C212" s="45" t="s">
        <v>620</v>
      </c>
      <c r="D212" s="21" t="s">
        <v>626</v>
      </c>
      <c r="E212" s="42" t="s">
        <v>582</v>
      </c>
      <c r="F212" s="42" t="s">
        <v>582</v>
      </c>
      <c r="G212" s="43">
        <v>1</v>
      </c>
    </row>
    <row r="213" ht="31.2" spans="1:7">
      <c r="A213" s="21" t="s">
        <v>604</v>
      </c>
      <c r="B213" s="21" t="s">
        <v>135</v>
      </c>
      <c r="C213" s="45" t="s">
        <v>620</v>
      </c>
      <c r="D213" s="21" t="s">
        <v>626</v>
      </c>
      <c r="E213" s="42" t="s">
        <v>652</v>
      </c>
      <c r="F213" s="42" t="s">
        <v>652</v>
      </c>
      <c r="G213" s="43">
        <v>1</v>
      </c>
    </row>
    <row r="214" spans="1:7">
      <c r="A214" s="21" t="s">
        <v>607</v>
      </c>
      <c r="B214" s="21" t="s">
        <v>135</v>
      </c>
      <c r="C214" s="45" t="s">
        <v>620</v>
      </c>
      <c r="D214" s="21" t="s">
        <v>626</v>
      </c>
      <c r="E214" s="42" t="s">
        <v>609</v>
      </c>
      <c r="F214" s="42" t="s">
        <v>609</v>
      </c>
      <c r="G214" s="43">
        <v>1</v>
      </c>
    </row>
    <row r="215" spans="1:7">
      <c r="A215" s="21" t="s">
        <v>610</v>
      </c>
      <c r="B215" s="21" t="s">
        <v>135</v>
      </c>
      <c r="C215" s="45" t="s">
        <v>620</v>
      </c>
      <c r="D215" s="21" t="s">
        <v>626</v>
      </c>
      <c r="E215" s="42" t="s">
        <v>612</v>
      </c>
      <c r="F215" s="42" t="s">
        <v>612</v>
      </c>
      <c r="G215" s="43">
        <v>1</v>
      </c>
    </row>
    <row r="216" spans="1:7">
      <c r="A216" s="21" t="s">
        <v>613</v>
      </c>
      <c r="B216" s="21" t="s">
        <v>135</v>
      </c>
      <c r="C216" s="45" t="s">
        <v>620</v>
      </c>
      <c r="D216" s="21" t="s">
        <v>626</v>
      </c>
      <c r="E216" s="42" t="s">
        <v>615</v>
      </c>
      <c r="F216" s="42" t="s">
        <v>615</v>
      </c>
      <c r="G216" s="43">
        <v>1</v>
      </c>
    </row>
  </sheetData>
  <mergeCells count="1">
    <mergeCell ref="J9:J10"/>
  </mergeCells>
  <pageMargins left="0.7" right="0.7" top="0.75" bottom="0.75" header="0.3" footer="0.3"/>
  <pageSetup paperSize="1" orientation="portrait"/>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16"/>
  <sheetViews>
    <sheetView zoomScale="68" zoomScaleNormal="68" workbookViewId="0">
      <selection activeCell="A1" sqref="A$1:G$1048576"/>
    </sheetView>
  </sheetViews>
  <sheetFormatPr defaultColWidth="9" defaultRowHeight="15.6"/>
  <cols>
    <col min="1" max="1" width="17.5555555555556" style="45" customWidth="1"/>
    <col min="2" max="2" width="12.4444444444444" style="45" customWidth="1"/>
    <col min="3" max="3" width="9.66666666666667" style="45" customWidth="1"/>
    <col min="4" max="4" width="15.2222222222222" style="45" customWidth="1"/>
    <col min="5" max="5" width="35.6666666666667" style="45" customWidth="1"/>
    <col min="6" max="6" width="21.8888888888889" style="45" customWidth="1"/>
    <col min="7" max="7" width="10.7777777777778" style="45" customWidth="1"/>
    <col min="8" max="9" width="9" style="45"/>
    <col min="10" max="10" width="15.2222222222222" style="45" customWidth="1"/>
    <col min="11" max="12" width="18.5555555555556" style="45" customWidth="1"/>
    <col min="13" max="14" width="21.2222222222222" style="45" customWidth="1"/>
    <col min="15" max="15" width="16.8888888888889" style="45" customWidth="1"/>
    <col min="16" max="16384" width="9" style="45"/>
  </cols>
  <sheetData>
    <row r="1" spans="1:15">
      <c r="A1" s="45" t="s">
        <v>0</v>
      </c>
      <c r="B1" s="45" t="s">
        <v>1</v>
      </c>
      <c r="C1" s="45" t="s">
        <v>616</v>
      </c>
      <c r="D1" s="45" t="s">
        <v>617</v>
      </c>
      <c r="E1" s="45" t="s">
        <v>618</v>
      </c>
      <c r="F1" s="45" t="s">
        <v>6</v>
      </c>
      <c r="G1" s="45" t="s">
        <v>619</v>
      </c>
    </row>
    <row r="2" spans="1:15">
      <c r="A2" s="46" t="s">
        <v>7</v>
      </c>
      <c r="B2" s="47" t="s">
        <v>8</v>
      </c>
      <c r="C2" s="45" t="s">
        <v>653</v>
      </c>
      <c r="D2" s="45" t="s">
        <v>621</v>
      </c>
      <c r="E2" s="45" t="s">
        <v>17</v>
      </c>
      <c r="F2" s="48" t="s">
        <v>11</v>
      </c>
      <c r="G2" s="45">
        <f t="shared" ref="G2:G65" si="0">IF(E2=F2,1,0)</f>
        <v>0</v>
      </c>
    </row>
    <row r="3" spans="1:15">
      <c r="A3" s="46" t="s">
        <v>12</v>
      </c>
      <c r="B3" s="47" t="s">
        <v>8</v>
      </c>
      <c r="C3" s="45" t="s">
        <v>653</v>
      </c>
      <c r="D3" s="45" t="s">
        <v>621</v>
      </c>
      <c r="E3" s="45" t="s">
        <v>30</v>
      </c>
      <c r="F3" s="48" t="s">
        <v>11</v>
      </c>
      <c r="G3" s="45">
        <f t="shared" si="0"/>
        <v>0</v>
      </c>
    </row>
    <row r="4" spans="1:15">
      <c r="A4" s="46" t="s">
        <v>14</v>
      </c>
      <c r="B4" s="47" t="s">
        <v>8</v>
      </c>
      <c r="C4" s="45" t="s">
        <v>653</v>
      </c>
      <c r="D4" s="45" t="s">
        <v>621</v>
      </c>
      <c r="E4" s="45" t="s">
        <v>17</v>
      </c>
      <c r="F4" s="47" t="s">
        <v>17</v>
      </c>
      <c r="G4" s="45">
        <f t="shared" si="0"/>
        <v>1</v>
      </c>
    </row>
    <row r="5" spans="1:15">
      <c r="A5" s="46" t="s">
        <v>18</v>
      </c>
      <c r="B5" s="47" t="s">
        <v>8</v>
      </c>
      <c r="C5" s="45" t="s">
        <v>653</v>
      </c>
      <c r="D5" s="45" t="s">
        <v>621</v>
      </c>
      <c r="E5" s="45" t="s">
        <v>11</v>
      </c>
      <c r="F5" s="47" t="s">
        <v>11</v>
      </c>
      <c r="G5" s="45">
        <f t="shared" si="0"/>
        <v>1</v>
      </c>
      <c r="J5" s="26" t="s">
        <v>617</v>
      </c>
      <c r="K5" s="26" t="s">
        <v>622</v>
      </c>
      <c r="L5" s="26" t="s">
        <v>623</v>
      </c>
      <c r="M5" s="26" t="s">
        <v>624</v>
      </c>
      <c r="N5" s="26" t="s">
        <v>625</v>
      </c>
    </row>
    <row r="6" spans="1:15">
      <c r="A6" s="46" t="s">
        <v>21</v>
      </c>
      <c r="B6" s="47" t="s">
        <v>8</v>
      </c>
      <c r="C6" s="45" t="s">
        <v>653</v>
      </c>
      <c r="D6" s="45" t="s">
        <v>621</v>
      </c>
      <c r="E6" s="45" t="s">
        <v>17</v>
      </c>
      <c r="F6" s="47" t="s">
        <v>11</v>
      </c>
      <c r="G6" s="45">
        <f t="shared" si="0"/>
        <v>0</v>
      </c>
      <c r="J6" s="27" t="s">
        <v>621</v>
      </c>
      <c r="K6" s="28">
        <f>COUNTA(D3:D157)</f>
        <v>155</v>
      </c>
      <c r="L6" s="28">
        <f>SUM(G2:G157)</f>
        <v>59</v>
      </c>
      <c r="M6" s="28">
        <f>K6-L6</f>
        <v>96</v>
      </c>
      <c r="N6" s="29">
        <f>L6/K6</f>
        <v>0.380645161290323</v>
      </c>
    </row>
    <row r="7" spans="1:15">
      <c r="A7" s="46" t="s">
        <v>23</v>
      </c>
      <c r="B7" s="47" t="s">
        <v>8</v>
      </c>
      <c r="C7" s="45" t="s">
        <v>653</v>
      </c>
      <c r="D7" s="45" t="s">
        <v>621</v>
      </c>
      <c r="E7" s="45" t="s">
        <v>11</v>
      </c>
      <c r="F7" s="47" t="s">
        <v>26</v>
      </c>
      <c r="G7" s="45">
        <f t="shared" si="0"/>
        <v>0</v>
      </c>
      <c r="J7" s="30" t="s">
        <v>626</v>
      </c>
      <c r="K7" s="28">
        <f>COUNTA(D157:D216)</f>
        <v>60</v>
      </c>
      <c r="L7" s="28">
        <f>SUM(G157:G217)</f>
        <v>30</v>
      </c>
      <c r="M7" s="28">
        <f>K7-L7</f>
        <v>30</v>
      </c>
      <c r="N7" s="29">
        <f>L7/K7</f>
        <v>0.5</v>
      </c>
    </row>
    <row r="8" spans="1:15">
      <c r="A8" s="46" t="s">
        <v>27</v>
      </c>
      <c r="B8" s="47" t="s">
        <v>8</v>
      </c>
      <c r="C8" s="45" t="s">
        <v>653</v>
      </c>
      <c r="D8" s="45" t="s">
        <v>621</v>
      </c>
      <c r="E8" s="45" t="s">
        <v>11</v>
      </c>
      <c r="F8" s="48" t="s">
        <v>30</v>
      </c>
      <c r="G8" s="45">
        <f t="shared" si="0"/>
        <v>0</v>
      </c>
    </row>
    <row r="9" spans="1:15">
      <c r="A9" s="46" t="s">
        <v>31</v>
      </c>
      <c r="B9" s="47" t="s">
        <v>8</v>
      </c>
      <c r="C9" s="45" t="s">
        <v>653</v>
      </c>
      <c r="D9" s="45" t="s">
        <v>621</v>
      </c>
      <c r="E9" s="45" t="s">
        <v>17</v>
      </c>
      <c r="F9" s="48" t="s">
        <v>11</v>
      </c>
      <c r="G9" s="45">
        <f t="shared" si="0"/>
        <v>0</v>
      </c>
      <c r="J9" s="31" t="s">
        <v>627</v>
      </c>
      <c r="K9" s="31" t="s">
        <v>617</v>
      </c>
      <c r="L9" s="31" t="s">
        <v>622</v>
      </c>
      <c r="M9" s="31" t="s">
        <v>623</v>
      </c>
      <c r="N9" s="31" t="s">
        <v>624</v>
      </c>
      <c r="O9" s="31" t="s">
        <v>625</v>
      </c>
    </row>
    <row r="10" spans="1:15">
      <c r="A10" s="46" t="s">
        <v>33</v>
      </c>
      <c r="B10" s="47" t="s">
        <v>8</v>
      </c>
      <c r="C10" s="45" t="s">
        <v>653</v>
      </c>
      <c r="D10" s="45" t="s">
        <v>621</v>
      </c>
      <c r="E10" s="45" t="s">
        <v>17</v>
      </c>
      <c r="F10" s="48" t="s">
        <v>30</v>
      </c>
      <c r="G10" s="45">
        <f t="shared" si="0"/>
        <v>0</v>
      </c>
      <c r="J10" s="32" t="s">
        <v>135</v>
      </c>
      <c r="K10" s="33" t="s">
        <v>621</v>
      </c>
      <c r="L10" s="34">
        <f>COUNTIFS(B:B,"Matemātika",D:D,"LV-orig-image")</f>
        <v>16</v>
      </c>
      <c r="M10" s="34">
        <f>SUMIFS(G:G,B:B,"Matemātika",D:D,"LV-orig-image")</f>
        <v>6</v>
      </c>
      <c r="N10" s="34">
        <f t="shared" ref="N10:N15" si="1">L10-M10</f>
        <v>10</v>
      </c>
      <c r="O10" s="35">
        <f>M10/L10</f>
        <v>0.375</v>
      </c>
    </row>
    <row r="11" spans="1:15">
      <c r="A11" s="46" t="s">
        <v>36</v>
      </c>
      <c r="B11" s="47" t="s">
        <v>8</v>
      </c>
      <c r="C11" s="45" t="s">
        <v>653</v>
      </c>
      <c r="D11" s="45" t="s">
        <v>621</v>
      </c>
      <c r="E11" s="45" t="s">
        <v>11</v>
      </c>
      <c r="F11" s="48" t="s">
        <v>17</v>
      </c>
      <c r="G11" s="45">
        <f t="shared" si="0"/>
        <v>0</v>
      </c>
      <c r="J11" s="32"/>
      <c r="K11" s="36" t="s">
        <v>626</v>
      </c>
      <c r="L11" s="34">
        <f>COUNTIFS(B:B,"Matemātika",D:D,"LV-orig-text")</f>
        <v>60</v>
      </c>
      <c r="M11" s="34">
        <f>SUM(G158:G217)</f>
        <v>29</v>
      </c>
      <c r="N11" s="34">
        <f t="shared" si="1"/>
        <v>31</v>
      </c>
      <c r="O11" s="35">
        <f>M11/L11</f>
        <v>0.483333333333333</v>
      </c>
    </row>
    <row r="12" spans="1:15">
      <c r="A12" s="46" t="s">
        <v>38</v>
      </c>
      <c r="B12" s="47" t="s">
        <v>39</v>
      </c>
      <c r="C12" s="45" t="s">
        <v>653</v>
      </c>
      <c r="D12" s="45" t="s">
        <v>621</v>
      </c>
      <c r="E12" s="45" t="s">
        <v>26</v>
      </c>
      <c r="F12" s="48" t="s">
        <v>26</v>
      </c>
      <c r="G12" s="45">
        <f t="shared" si="0"/>
        <v>1</v>
      </c>
      <c r="J12" s="32" t="s">
        <v>8</v>
      </c>
      <c r="K12" s="33" t="s">
        <v>621</v>
      </c>
      <c r="L12" s="32">
        <f>COUNTIFS(B:B,"Fizika",D:D,"LV-orig-image")</f>
        <v>38</v>
      </c>
      <c r="M12" s="32">
        <f>SUMIFS(G:G,B:B,"Fizika",D:D,"LV-orig-image")</f>
        <v>14</v>
      </c>
      <c r="N12" s="32">
        <f t="shared" si="1"/>
        <v>24</v>
      </c>
      <c r="O12" s="37">
        <f>M12/L12</f>
        <v>0.368421052631579</v>
      </c>
    </row>
    <row r="13" spans="1:15">
      <c r="A13" s="46" t="s">
        <v>42</v>
      </c>
      <c r="B13" s="47" t="s">
        <v>39</v>
      </c>
      <c r="C13" s="45" t="s">
        <v>653</v>
      </c>
      <c r="D13" s="45" t="s">
        <v>621</v>
      </c>
      <c r="E13" s="45" t="s">
        <v>30</v>
      </c>
      <c r="F13" s="48" t="s">
        <v>26</v>
      </c>
      <c r="G13" s="45">
        <f t="shared" si="0"/>
        <v>0</v>
      </c>
      <c r="J13" s="32" t="s">
        <v>39</v>
      </c>
      <c r="K13" s="33" t="s">
        <v>621</v>
      </c>
      <c r="L13" s="32">
        <f>COUNTIFS(B:B,"Ķīmija",D:D,"LV-orig-image")</f>
        <v>32</v>
      </c>
      <c r="M13" s="32">
        <f>SUMIFS(G:G,B:B,"Ķīmija",D:D,"LV-orig-image")</f>
        <v>15</v>
      </c>
      <c r="N13" s="32">
        <f t="shared" si="1"/>
        <v>17</v>
      </c>
      <c r="O13" s="37">
        <f>M13/L13</f>
        <v>0.46875</v>
      </c>
    </row>
    <row r="14" spans="1:15">
      <c r="A14" s="46" t="s">
        <v>44</v>
      </c>
      <c r="B14" s="47" t="s">
        <v>39</v>
      </c>
      <c r="C14" s="45" t="s">
        <v>653</v>
      </c>
      <c r="D14" s="45" t="s">
        <v>621</v>
      </c>
      <c r="E14" s="45" t="s">
        <v>30</v>
      </c>
      <c r="F14" s="48" t="s">
        <v>17</v>
      </c>
      <c r="G14" s="45">
        <f t="shared" si="0"/>
        <v>0</v>
      </c>
      <c r="J14" s="32" t="s">
        <v>69</v>
      </c>
      <c r="K14" s="33" t="s">
        <v>621</v>
      </c>
      <c r="L14" s="32">
        <f>COUNTIFS(B:B,"Bioloģija",D:D,"LV-orig-image")</f>
        <v>49</v>
      </c>
      <c r="M14" s="32">
        <f>SUMIFS(G:G,B:B,"Bioloģija",D:D,"LV-orig-image")</f>
        <v>17</v>
      </c>
      <c r="N14" s="32">
        <f t="shared" si="1"/>
        <v>32</v>
      </c>
      <c r="O14" s="37">
        <f>M14/L14</f>
        <v>0.346938775510204</v>
      </c>
    </row>
    <row r="15" spans="1:15">
      <c r="A15" s="46" t="s">
        <v>46</v>
      </c>
      <c r="B15" s="47" t="s">
        <v>39</v>
      </c>
      <c r="C15" s="45" t="s">
        <v>653</v>
      </c>
      <c r="D15" s="45" t="s">
        <v>621</v>
      </c>
      <c r="E15" s="45" t="s">
        <v>30</v>
      </c>
      <c r="F15" s="48" t="s">
        <v>17</v>
      </c>
      <c r="G15" s="45">
        <f t="shared" si="0"/>
        <v>0</v>
      </c>
      <c r="J15" s="32" t="s">
        <v>113</v>
      </c>
      <c r="K15" s="33" t="s">
        <v>621</v>
      </c>
      <c r="L15" s="32">
        <f>COUNTIFS(B:B,"Ģeogrāfija",D:D,"LV-orig-image")</f>
        <v>20</v>
      </c>
      <c r="M15" s="32">
        <f>SUMIFS(G:G,B:B,"Ģeogrāfija",D:D,"LV-orig-image")</f>
        <v>6</v>
      </c>
      <c r="N15" s="32">
        <f t="shared" si="1"/>
        <v>14</v>
      </c>
      <c r="O15" s="37">
        <f t="shared" ref="O15" si="2">M15/L15</f>
        <v>0.3</v>
      </c>
    </row>
    <row r="16" spans="1:15">
      <c r="A16" s="46" t="s">
        <v>48</v>
      </c>
      <c r="B16" s="47" t="s">
        <v>39</v>
      </c>
      <c r="C16" s="45" t="s">
        <v>653</v>
      </c>
      <c r="D16" s="45" t="s">
        <v>621</v>
      </c>
      <c r="E16" s="45" t="s">
        <v>17</v>
      </c>
      <c r="F16" s="48" t="s">
        <v>17</v>
      </c>
      <c r="G16" s="45">
        <f t="shared" si="0"/>
        <v>1</v>
      </c>
    </row>
    <row r="17" spans="1:7">
      <c r="A17" s="46" t="s">
        <v>51</v>
      </c>
      <c r="B17" s="47" t="s">
        <v>39</v>
      </c>
      <c r="C17" s="45" t="s">
        <v>653</v>
      </c>
      <c r="D17" s="45" t="s">
        <v>621</v>
      </c>
      <c r="E17" s="45" t="s">
        <v>30</v>
      </c>
      <c r="F17" s="48" t="s">
        <v>30</v>
      </c>
      <c r="G17" s="45">
        <f t="shared" si="0"/>
        <v>1</v>
      </c>
    </row>
    <row r="18" spans="1:7">
      <c r="A18" s="46" t="s">
        <v>54</v>
      </c>
      <c r="B18" s="47" t="s">
        <v>39</v>
      </c>
      <c r="C18" s="45" t="s">
        <v>653</v>
      </c>
      <c r="D18" s="45" t="s">
        <v>621</v>
      </c>
      <c r="E18" s="45" t="s">
        <v>11</v>
      </c>
      <c r="F18" s="48" t="s">
        <v>11</v>
      </c>
      <c r="G18" s="45">
        <f t="shared" si="0"/>
        <v>1</v>
      </c>
    </row>
    <row r="19" spans="1:7">
      <c r="A19" s="46" t="s">
        <v>56</v>
      </c>
      <c r="B19" s="47" t="s">
        <v>39</v>
      </c>
      <c r="C19" s="45" t="s">
        <v>653</v>
      </c>
      <c r="D19" s="45" t="s">
        <v>621</v>
      </c>
      <c r="E19" s="45" t="s">
        <v>30</v>
      </c>
      <c r="F19" s="48" t="s">
        <v>17</v>
      </c>
      <c r="G19" s="45">
        <f t="shared" si="0"/>
        <v>0</v>
      </c>
    </row>
    <row r="20" spans="1:7">
      <c r="A20" s="46" t="s">
        <v>59</v>
      </c>
      <c r="B20" s="47" t="s">
        <v>39</v>
      </c>
      <c r="C20" s="45" t="s">
        <v>653</v>
      </c>
      <c r="D20" s="45" t="s">
        <v>621</v>
      </c>
      <c r="E20" s="45" t="s">
        <v>17</v>
      </c>
      <c r="F20" s="48" t="s">
        <v>26</v>
      </c>
      <c r="G20" s="45">
        <f t="shared" si="0"/>
        <v>0</v>
      </c>
    </row>
    <row r="21" spans="1:7">
      <c r="A21" s="46" t="s">
        <v>62</v>
      </c>
      <c r="B21" s="47" t="s">
        <v>39</v>
      </c>
      <c r="C21" s="45" t="s">
        <v>653</v>
      </c>
      <c r="D21" s="45" t="s">
        <v>621</v>
      </c>
      <c r="E21" s="45" t="s">
        <v>30</v>
      </c>
      <c r="F21" s="48" t="s">
        <v>30</v>
      </c>
      <c r="G21" s="45">
        <f t="shared" si="0"/>
        <v>1</v>
      </c>
    </row>
    <row r="22" spans="1:7">
      <c r="A22" s="46" t="s">
        <v>65</v>
      </c>
      <c r="B22" s="47" t="s">
        <v>39</v>
      </c>
      <c r="C22" s="45" t="s">
        <v>653</v>
      </c>
      <c r="D22" s="45" t="s">
        <v>621</v>
      </c>
      <c r="E22" s="45" t="s">
        <v>17</v>
      </c>
      <c r="F22" s="48" t="s">
        <v>11</v>
      </c>
      <c r="G22" s="45">
        <f t="shared" si="0"/>
        <v>0</v>
      </c>
    </row>
    <row r="23" spans="1:7">
      <c r="A23" s="46" t="s">
        <v>68</v>
      </c>
      <c r="B23" s="47" t="s">
        <v>69</v>
      </c>
      <c r="C23" s="45" t="s">
        <v>653</v>
      </c>
      <c r="D23" s="45" t="s">
        <v>621</v>
      </c>
      <c r="E23" s="45" t="s">
        <v>26</v>
      </c>
      <c r="F23" s="48" t="s">
        <v>26</v>
      </c>
      <c r="G23" s="45">
        <f t="shared" si="0"/>
        <v>1</v>
      </c>
    </row>
    <row r="24" spans="1:7">
      <c r="A24" s="46" t="s">
        <v>72</v>
      </c>
      <c r="B24" s="47" t="s">
        <v>69</v>
      </c>
      <c r="C24" s="45" t="s">
        <v>653</v>
      </c>
      <c r="D24" s="45" t="s">
        <v>621</v>
      </c>
      <c r="E24" s="45" t="s">
        <v>11</v>
      </c>
      <c r="F24" s="48" t="s">
        <v>11</v>
      </c>
      <c r="G24" s="45">
        <f t="shared" si="0"/>
        <v>1</v>
      </c>
    </row>
    <row r="25" spans="1:7">
      <c r="A25" s="46" t="s">
        <v>75</v>
      </c>
      <c r="B25" s="47" t="s">
        <v>69</v>
      </c>
      <c r="C25" s="45" t="s">
        <v>653</v>
      </c>
      <c r="D25" s="45" t="s">
        <v>621</v>
      </c>
      <c r="E25" s="45" t="s">
        <v>30</v>
      </c>
      <c r="F25" s="48" t="s">
        <v>30</v>
      </c>
      <c r="G25" s="45">
        <f t="shared" si="0"/>
        <v>1</v>
      </c>
    </row>
    <row r="26" spans="1:7">
      <c r="A26" s="46" t="s">
        <v>78</v>
      </c>
      <c r="B26" s="47" t="s">
        <v>69</v>
      </c>
      <c r="C26" s="45" t="s">
        <v>653</v>
      </c>
      <c r="D26" s="45" t="s">
        <v>621</v>
      </c>
      <c r="E26" s="45" t="s">
        <v>30</v>
      </c>
      <c r="F26" s="48" t="s">
        <v>30</v>
      </c>
      <c r="G26" s="45">
        <f t="shared" si="0"/>
        <v>1</v>
      </c>
    </row>
    <row r="27" spans="1:7">
      <c r="A27" s="46" t="s">
        <v>81</v>
      </c>
      <c r="B27" s="47" t="s">
        <v>69</v>
      </c>
      <c r="C27" s="45" t="s">
        <v>653</v>
      </c>
      <c r="D27" s="45" t="s">
        <v>621</v>
      </c>
      <c r="E27" s="45" t="s">
        <v>11</v>
      </c>
      <c r="F27" s="48" t="s">
        <v>11</v>
      </c>
      <c r="G27" s="45">
        <f t="shared" si="0"/>
        <v>1</v>
      </c>
    </row>
    <row r="28" spans="1:7">
      <c r="A28" s="46" t="s">
        <v>84</v>
      </c>
      <c r="B28" s="47" t="s">
        <v>69</v>
      </c>
      <c r="C28" s="45" t="s">
        <v>653</v>
      </c>
      <c r="D28" s="45" t="s">
        <v>621</v>
      </c>
      <c r="E28" s="45" t="s">
        <v>17</v>
      </c>
      <c r="F28" s="48" t="s">
        <v>11</v>
      </c>
      <c r="G28" s="45">
        <f t="shared" si="0"/>
        <v>0</v>
      </c>
    </row>
    <row r="29" spans="1:7">
      <c r="A29" s="46" t="s">
        <v>86</v>
      </c>
      <c r="B29" s="47" t="s">
        <v>69</v>
      </c>
      <c r="C29" s="45" t="s">
        <v>653</v>
      </c>
      <c r="D29" s="45" t="s">
        <v>621</v>
      </c>
      <c r="E29" s="45" t="s">
        <v>11</v>
      </c>
      <c r="F29" s="48" t="s">
        <v>83</v>
      </c>
      <c r="G29" s="45">
        <f t="shared" si="0"/>
        <v>0</v>
      </c>
    </row>
    <row r="30" spans="1:7">
      <c r="A30" s="46" t="s">
        <v>89</v>
      </c>
      <c r="B30" s="47" t="s">
        <v>69</v>
      </c>
      <c r="C30" s="45" t="s">
        <v>653</v>
      </c>
      <c r="D30" s="45" t="s">
        <v>621</v>
      </c>
      <c r="E30" s="45" t="s">
        <v>17</v>
      </c>
      <c r="F30" s="48" t="s">
        <v>30</v>
      </c>
      <c r="G30" s="45">
        <f t="shared" si="0"/>
        <v>0</v>
      </c>
    </row>
    <row r="31" spans="1:7">
      <c r="A31" s="46" t="s">
        <v>92</v>
      </c>
      <c r="B31" s="47" t="s">
        <v>69</v>
      </c>
      <c r="C31" s="45" t="s">
        <v>653</v>
      </c>
      <c r="D31" s="45" t="s">
        <v>621</v>
      </c>
      <c r="E31" s="45" t="s">
        <v>17</v>
      </c>
      <c r="F31" s="48" t="s">
        <v>17</v>
      </c>
      <c r="G31" s="45">
        <f t="shared" si="0"/>
        <v>1</v>
      </c>
    </row>
    <row r="32" spans="1:7">
      <c r="A32" s="46" t="s">
        <v>95</v>
      </c>
      <c r="B32" s="47" t="s">
        <v>69</v>
      </c>
      <c r="C32" s="45" t="s">
        <v>653</v>
      </c>
      <c r="D32" s="45" t="s">
        <v>621</v>
      </c>
      <c r="E32" s="45" t="s">
        <v>30</v>
      </c>
      <c r="F32" s="48" t="s">
        <v>30</v>
      </c>
      <c r="G32" s="45">
        <f t="shared" si="0"/>
        <v>1</v>
      </c>
    </row>
    <row r="33" spans="1:7">
      <c r="A33" s="46" t="s">
        <v>98</v>
      </c>
      <c r="B33" s="47" t="s">
        <v>69</v>
      </c>
      <c r="C33" s="45" t="s">
        <v>653</v>
      </c>
      <c r="D33" s="45" t="s">
        <v>621</v>
      </c>
      <c r="E33" s="45" t="s">
        <v>30</v>
      </c>
      <c r="F33" s="48" t="s">
        <v>26</v>
      </c>
      <c r="G33" s="45">
        <f t="shared" si="0"/>
        <v>0</v>
      </c>
    </row>
    <row r="34" spans="1:7">
      <c r="A34" s="46" t="s">
        <v>101</v>
      </c>
      <c r="B34" s="47" t="s">
        <v>69</v>
      </c>
      <c r="C34" s="45" t="s">
        <v>653</v>
      </c>
      <c r="D34" s="45" t="s">
        <v>621</v>
      </c>
      <c r="E34" s="45" t="s">
        <v>17</v>
      </c>
      <c r="F34" s="48" t="s">
        <v>26</v>
      </c>
      <c r="G34" s="45">
        <f t="shared" si="0"/>
        <v>0</v>
      </c>
    </row>
    <row r="35" spans="1:7">
      <c r="A35" s="46" t="s">
        <v>103</v>
      </c>
      <c r="B35" s="47" t="s">
        <v>69</v>
      </c>
      <c r="C35" s="45" t="s">
        <v>653</v>
      </c>
      <c r="D35" s="45" t="s">
        <v>621</v>
      </c>
      <c r="E35" s="45" t="s">
        <v>17</v>
      </c>
      <c r="F35" s="48" t="s">
        <v>17</v>
      </c>
      <c r="G35" s="45">
        <f t="shared" si="0"/>
        <v>1</v>
      </c>
    </row>
    <row r="36" spans="1:7">
      <c r="A36" s="46" t="s">
        <v>106</v>
      </c>
      <c r="B36" s="47" t="s">
        <v>69</v>
      </c>
      <c r="C36" s="45" t="s">
        <v>653</v>
      </c>
      <c r="D36" s="45" t="s">
        <v>621</v>
      </c>
      <c r="E36" s="45" t="s">
        <v>17</v>
      </c>
      <c r="F36" s="48" t="s">
        <v>26</v>
      </c>
      <c r="G36" s="45">
        <f t="shared" si="0"/>
        <v>0</v>
      </c>
    </row>
    <row r="37" spans="1:7">
      <c r="A37" s="46" t="s">
        <v>109</v>
      </c>
      <c r="B37" s="47" t="s">
        <v>69</v>
      </c>
      <c r="C37" s="45" t="s">
        <v>653</v>
      </c>
      <c r="D37" s="45" t="s">
        <v>621</v>
      </c>
      <c r="E37" s="45" t="s">
        <v>17</v>
      </c>
      <c r="F37" s="48" t="s">
        <v>26</v>
      </c>
      <c r="G37" s="45">
        <f t="shared" si="0"/>
        <v>0</v>
      </c>
    </row>
    <row r="38" spans="1:7">
      <c r="A38" s="46" t="s">
        <v>112</v>
      </c>
      <c r="B38" s="47" t="s">
        <v>113</v>
      </c>
      <c r="C38" s="45" t="s">
        <v>653</v>
      </c>
      <c r="D38" s="45" t="s">
        <v>621</v>
      </c>
      <c r="E38" s="45" t="s">
        <v>17</v>
      </c>
      <c r="F38" s="48" t="s">
        <v>17</v>
      </c>
      <c r="G38" s="45">
        <f t="shared" si="0"/>
        <v>1</v>
      </c>
    </row>
    <row r="39" spans="1:7">
      <c r="A39" s="46" t="s">
        <v>116</v>
      </c>
      <c r="B39" s="47" t="s">
        <v>113</v>
      </c>
      <c r="C39" s="45" t="s">
        <v>653</v>
      </c>
      <c r="D39" s="45" t="s">
        <v>621</v>
      </c>
      <c r="E39" s="45" t="s">
        <v>30</v>
      </c>
      <c r="F39" s="48" t="s">
        <v>26</v>
      </c>
      <c r="G39" s="45">
        <f t="shared" si="0"/>
        <v>0</v>
      </c>
    </row>
    <row r="40" spans="1:7">
      <c r="A40" s="46" t="s">
        <v>119</v>
      </c>
      <c r="B40" s="47" t="s">
        <v>113</v>
      </c>
      <c r="C40" s="45" t="s">
        <v>653</v>
      </c>
      <c r="D40" s="45" t="s">
        <v>621</v>
      </c>
      <c r="E40" s="45" t="s">
        <v>17</v>
      </c>
      <c r="F40" s="48" t="s">
        <v>30</v>
      </c>
      <c r="G40" s="45">
        <f t="shared" si="0"/>
        <v>0</v>
      </c>
    </row>
    <row r="41" spans="1:7">
      <c r="A41" s="46" t="s">
        <v>122</v>
      </c>
      <c r="B41" s="47" t="s">
        <v>113</v>
      </c>
      <c r="C41" s="45" t="s">
        <v>653</v>
      </c>
      <c r="D41" s="45" t="s">
        <v>621</v>
      </c>
      <c r="E41" s="45" t="s">
        <v>17</v>
      </c>
      <c r="F41" s="48" t="s">
        <v>30</v>
      </c>
      <c r="G41" s="45">
        <f t="shared" si="0"/>
        <v>0</v>
      </c>
    </row>
    <row r="42" spans="1:7">
      <c r="A42" s="46" t="s">
        <v>125</v>
      </c>
      <c r="B42" s="47" t="s">
        <v>113</v>
      </c>
      <c r="C42" s="45" t="s">
        <v>653</v>
      </c>
      <c r="D42" s="45" t="s">
        <v>621</v>
      </c>
      <c r="E42" s="45" t="s">
        <v>17</v>
      </c>
      <c r="F42" s="48" t="s">
        <v>26</v>
      </c>
      <c r="G42" s="45">
        <f t="shared" si="0"/>
        <v>0</v>
      </c>
    </row>
    <row r="43" spans="1:7">
      <c r="A43" s="46" t="s">
        <v>128</v>
      </c>
      <c r="B43" s="47" t="s">
        <v>113</v>
      </c>
      <c r="C43" s="45" t="s">
        <v>653</v>
      </c>
      <c r="D43" s="45" t="s">
        <v>621</v>
      </c>
      <c r="E43" s="45" t="s">
        <v>17</v>
      </c>
      <c r="F43" s="48" t="s">
        <v>26</v>
      </c>
      <c r="G43" s="45">
        <f t="shared" si="0"/>
        <v>0</v>
      </c>
    </row>
    <row r="44" spans="1:7">
      <c r="A44" s="46" t="s">
        <v>131</v>
      </c>
      <c r="B44" s="47" t="s">
        <v>113</v>
      </c>
      <c r="C44" s="45" t="s">
        <v>653</v>
      </c>
      <c r="D44" s="45" t="s">
        <v>621</v>
      </c>
      <c r="E44" s="45" t="s">
        <v>17</v>
      </c>
      <c r="F44" s="48" t="s">
        <v>30</v>
      </c>
      <c r="G44" s="45">
        <f t="shared" si="0"/>
        <v>0</v>
      </c>
    </row>
    <row r="45" spans="1:7">
      <c r="A45" s="46" t="s">
        <v>134</v>
      </c>
      <c r="B45" s="47" t="s">
        <v>135</v>
      </c>
      <c r="C45" s="45" t="s">
        <v>653</v>
      </c>
      <c r="D45" s="45" t="s">
        <v>621</v>
      </c>
      <c r="E45" s="45" t="s">
        <v>17</v>
      </c>
      <c r="F45" s="48" t="s">
        <v>17</v>
      </c>
      <c r="G45" s="45">
        <f t="shared" si="0"/>
        <v>1</v>
      </c>
    </row>
    <row r="46" spans="1:7">
      <c r="A46" s="46" t="s">
        <v>138</v>
      </c>
      <c r="B46" s="47" t="s">
        <v>135</v>
      </c>
      <c r="C46" s="45" t="s">
        <v>653</v>
      </c>
      <c r="D46" s="45" t="s">
        <v>621</v>
      </c>
      <c r="E46" s="45" t="s">
        <v>30</v>
      </c>
      <c r="F46" s="48" t="s">
        <v>30</v>
      </c>
      <c r="G46" s="45">
        <f t="shared" si="0"/>
        <v>1</v>
      </c>
    </row>
    <row r="47" spans="1:7">
      <c r="A47" s="46" t="s">
        <v>141</v>
      </c>
      <c r="B47" s="47" t="s">
        <v>135</v>
      </c>
      <c r="C47" s="45" t="s">
        <v>653</v>
      </c>
      <c r="D47" s="45" t="s">
        <v>621</v>
      </c>
      <c r="E47" s="45" t="s">
        <v>11</v>
      </c>
      <c r="F47" s="48" t="s">
        <v>26</v>
      </c>
      <c r="G47" s="45">
        <f t="shared" si="0"/>
        <v>0</v>
      </c>
    </row>
    <row r="48" spans="1:7">
      <c r="A48" s="46" t="s">
        <v>144</v>
      </c>
      <c r="B48" s="47" t="s">
        <v>135</v>
      </c>
      <c r="C48" s="45" t="s">
        <v>653</v>
      </c>
      <c r="D48" s="45" t="s">
        <v>621</v>
      </c>
      <c r="E48" s="45" t="s">
        <v>26</v>
      </c>
      <c r="F48" s="48" t="s">
        <v>17</v>
      </c>
      <c r="G48" s="45">
        <f t="shared" si="0"/>
        <v>0</v>
      </c>
    </row>
    <row r="49" spans="1:7">
      <c r="A49" s="46" t="s">
        <v>147</v>
      </c>
      <c r="B49" s="47" t="s">
        <v>135</v>
      </c>
      <c r="C49" s="45" t="s">
        <v>653</v>
      </c>
      <c r="D49" s="45" t="s">
        <v>621</v>
      </c>
      <c r="E49" s="45" t="s">
        <v>30</v>
      </c>
      <c r="F49" s="48" t="s">
        <v>30</v>
      </c>
      <c r="G49" s="45">
        <f t="shared" si="0"/>
        <v>1</v>
      </c>
    </row>
    <row r="50" spans="1:7">
      <c r="A50" s="46" t="s">
        <v>150</v>
      </c>
      <c r="B50" s="47" t="s">
        <v>135</v>
      </c>
      <c r="C50" s="45" t="s">
        <v>653</v>
      </c>
      <c r="D50" s="45" t="s">
        <v>621</v>
      </c>
      <c r="E50" s="45" t="s">
        <v>17</v>
      </c>
      <c r="F50" s="48" t="s">
        <v>11</v>
      </c>
      <c r="G50" s="45">
        <f t="shared" si="0"/>
        <v>0</v>
      </c>
    </row>
    <row r="51" spans="1:7">
      <c r="A51" s="46" t="s">
        <v>153</v>
      </c>
      <c r="B51" s="47" t="s">
        <v>135</v>
      </c>
      <c r="C51" s="45" t="s">
        <v>653</v>
      </c>
      <c r="D51" s="45" t="s">
        <v>621</v>
      </c>
      <c r="E51" s="45" t="s">
        <v>17</v>
      </c>
      <c r="F51" s="48" t="s">
        <v>11</v>
      </c>
      <c r="G51" s="45">
        <f t="shared" si="0"/>
        <v>0</v>
      </c>
    </row>
    <row r="52" spans="1:7">
      <c r="A52" s="46" t="s">
        <v>156</v>
      </c>
      <c r="B52" s="47" t="s">
        <v>135</v>
      </c>
      <c r="C52" s="45" t="s">
        <v>653</v>
      </c>
      <c r="D52" s="45" t="s">
        <v>621</v>
      </c>
      <c r="E52" s="45" t="s">
        <v>30</v>
      </c>
      <c r="F52" s="48" t="s">
        <v>17</v>
      </c>
      <c r="G52" s="45">
        <f t="shared" si="0"/>
        <v>0</v>
      </c>
    </row>
    <row r="53" spans="1:7">
      <c r="A53" s="46" t="s">
        <v>159</v>
      </c>
      <c r="B53" s="47" t="s">
        <v>135</v>
      </c>
      <c r="C53" s="45" t="s">
        <v>653</v>
      </c>
      <c r="D53" s="45" t="s">
        <v>621</v>
      </c>
      <c r="E53" s="45" t="s">
        <v>17</v>
      </c>
      <c r="F53" s="48" t="s">
        <v>11</v>
      </c>
      <c r="G53" s="45">
        <f t="shared" si="0"/>
        <v>0</v>
      </c>
    </row>
    <row r="54" spans="1:7">
      <c r="A54" s="46" t="s">
        <v>161</v>
      </c>
      <c r="B54" s="47" t="s">
        <v>135</v>
      </c>
      <c r="C54" s="45" t="s">
        <v>653</v>
      </c>
      <c r="D54" s="45" t="s">
        <v>621</v>
      </c>
      <c r="E54" s="45" t="s">
        <v>11</v>
      </c>
      <c r="F54" s="48" t="s">
        <v>26</v>
      </c>
      <c r="G54" s="45">
        <f t="shared" si="0"/>
        <v>0</v>
      </c>
    </row>
    <row r="55" spans="1:7">
      <c r="A55" s="46" t="s">
        <v>164</v>
      </c>
      <c r="B55" s="47" t="s">
        <v>135</v>
      </c>
      <c r="C55" s="45" t="s">
        <v>653</v>
      </c>
      <c r="D55" s="45" t="s">
        <v>621</v>
      </c>
      <c r="E55" s="45" t="s">
        <v>26</v>
      </c>
      <c r="F55" s="48" t="s">
        <v>17</v>
      </c>
      <c r="G55" s="45">
        <f t="shared" si="0"/>
        <v>0</v>
      </c>
    </row>
    <row r="56" spans="1:7">
      <c r="A56" s="46" t="s">
        <v>167</v>
      </c>
      <c r="B56" s="47" t="s">
        <v>135</v>
      </c>
      <c r="C56" s="45" t="s">
        <v>653</v>
      </c>
      <c r="D56" s="45" t="s">
        <v>621</v>
      </c>
      <c r="E56" s="45" t="s">
        <v>30</v>
      </c>
      <c r="F56" s="48" t="s">
        <v>30</v>
      </c>
      <c r="G56" s="45">
        <f t="shared" si="0"/>
        <v>1</v>
      </c>
    </row>
    <row r="57" spans="1:7">
      <c r="A57" s="46" t="s">
        <v>170</v>
      </c>
      <c r="B57" s="47" t="s">
        <v>135</v>
      </c>
      <c r="C57" s="45" t="s">
        <v>653</v>
      </c>
      <c r="D57" s="45" t="s">
        <v>621</v>
      </c>
      <c r="E57" s="45" t="s">
        <v>11</v>
      </c>
      <c r="F57" s="48" t="s">
        <v>11</v>
      </c>
      <c r="G57" s="45">
        <f t="shared" si="0"/>
        <v>1</v>
      </c>
    </row>
    <row r="58" spans="1:7">
      <c r="A58" s="46" t="s">
        <v>173</v>
      </c>
      <c r="B58" s="47" t="s">
        <v>39</v>
      </c>
      <c r="C58" s="45" t="s">
        <v>653</v>
      </c>
      <c r="D58" s="45" t="s">
        <v>621</v>
      </c>
      <c r="E58" s="45" t="s">
        <v>30</v>
      </c>
      <c r="F58" s="48" t="s">
        <v>30</v>
      </c>
      <c r="G58" s="45">
        <f t="shared" si="0"/>
        <v>1</v>
      </c>
    </row>
    <row r="59" spans="1:7">
      <c r="A59" s="46" t="s">
        <v>176</v>
      </c>
      <c r="B59" s="47" t="s">
        <v>39</v>
      </c>
      <c r="C59" s="45" t="s">
        <v>653</v>
      </c>
      <c r="D59" s="45" t="s">
        <v>621</v>
      </c>
      <c r="E59" s="45" t="s">
        <v>26</v>
      </c>
      <c r="F59" s="48" t="s">
        <v>30</v>
      </c>
      <c r="G59" s="45">
        <f t="shared" si="0"/>
        <v>0</v>
      </c>
    </row>
    <row r="60" spans="1:7">
      <c r="A60" s="46" t="s">
        <v>179</v>
      </c>
      <c r="B60" s="47" t="s">
        <v>39</v>
      </c>
      <c r="C60" s="45" t="s">
        <v>653</v>
      </c>
      <c r="D60" s="45" t="s">
        <v>621</v>
      </c>
      <c r="E60" s="45" t="s">
        <v>26</v>
      </c>
      <c r="F60" s="48" t="s">
        <v>26</v>
      </c>
      <c r="G60" s="45">
        <f t="shared" si="0"/>
        <v>1</v>
      </c>
    </row>
    <row r="61" spans="1:7">
      <c r="A61" s="46" t="s">
        <v>181</v>
      </c>
      <c r="B61" s="47" t="s">
        <v>39</v>
      </c>
      <c r="C61" s="45" t="s">
        <v>653</v>
      </c>
      <c r="D61" s="45" t="s">
        <v>621</v>
      </c>
      <c r="E61" s="45" t="s">
        <v>30</v>
      </c>
      <c r="F61" s="48" t="s">
        <v>26</v>
      </c>
      <c r="G61" s="45">
        <f t="shared" si="0"/>
        <v>0</v>
      </c>
    </row>
    <row r="62" spans="1:7">
      <c r="A62" s="46" t="s">
        <v>183</v>
      </c>
      <c r="B62" s="47" t="s">
        <v>39</v>
      </c>
      <c r="C62" s="45" t="s">
        <v>653</v>
      </c>
      <c r="D62" s="45" t="s">
        <v>621</v>
      </c>
      <c r="E62" s="45" t="s">
        <v>11</v>
      </c>
      <c r="F62" s="48" t="s">
        <v>30</v>
      </c>
      <c r="G62" s="45">
        <f t="shared" si="0"/>
        <v>0</v>
      </c>
    </row>
    <row r="63" spans="1:7">
      <c r="A63" s="46" t="s">
        <v>185</v>
      </c>
      <c r="B63" s="47" t="s">
        <v>39</v>
      </c>
      <c r="C63" s="45" t="s">
        <v>653</v>
      </c>
      <c r="D63" s="45" t="s">
        <v>621</v>
      </c>
      <c r="E63" s="45" t="s">
        <v>11</v>
      </c>
      <c r="F63" s="48" t="s">
        <v>11</v>
      </c>
      <c r="G63" s="45">
        <f t="shared" si="0"/>
        <v>1</v>
      </c>
    </row>
    <row r="64" spans="1:7">
      <c r="A64" s="46" t="s">
        <v>188</v>
      </c>
      <c r="B64" s="47" t="s">
        <v>39</v>
      </c>
      <c r="C64" s="45" t="s">
        <v>653</v>
      </c>
      <c r="D64" s="45" t="s">
        <v>621</v>
      </c>
      <c r="E64" s="45" t="s">
        <v>11</v>
      </c>
      <c r="F64" s="48" t="s">
        <v>11</v>
      </c>
      <c r="G64" s="45">
        <f t="shared" si="0"/>
        <v>1</v>
      </c>
    </row>
    <row r="65" spans="1:7">
      <c r="A65" s="46" t="s">
        <v>191</v>
      </c>
      <c r="B65" s="47" t="s">
        <v>39</v>
      </c>
      <c r="C65" s="45" t="s">
        <v>653</v>
      </c>
      <c r="D65" s="45" t="s">
        <v>621</v>
      </c>
      <c r="E65" s="45" t="s">
        <v>17</v>
      </c>
      <c r="F65" s="48" t="s">
        <v>30</v>
      </c>
      <c r="G65" s="45">
        <f t="shared" si="0"/>
        <v>0</v>
      </c>
    </row>
    <row r="66" spans="1:7">
      <c r="A66" s="46" t="s">
        <v>194</v>
      </c>
      <c r="B66" s="47" t="s">
        <v>39</v>
      </c>
      <c r="C66" s="45" t="s">
        <v>653</v>
      </c>
      <c r="D66" s="45" t="s">
        <v>621</v>
      </c>
      <c r="E66" s="45" t="s">
        <v>17</v>
      </c>
      <c r="F66" s="48" t="s">
        <v>30</v>
      </c>
      <c r="G66" s="45">
        <f t="shared" ref="G66:G129" si="3">IF(E66=F66,1,0)</f>
        <v>0</v>
      </c>
    </row>
    <row r="67" spans="1:7">
      <c r="A67" s="46" t="s">
        <v>196</v>
      </c>
      <c r="B67" s="47" t="s">
        <v>69</v>
      </c>
      <c r="C67" s="45" t="s">
        <v>653</v>
      </c>
      <c r="D67" s="45" t="s">
        <v>621</v>
      </c>
      <c r="E67" s="45" t="s">
        <v>26</v>
      </c>
      <c r="F67" s="48" t="s">
        <v>30</v>
      </c>
      <c r="G67" s="45">
        <f t="shared" si="3"/>
        <v>0</v>
      </c>
    </row>
    <row r="68" spans="1:7">
      <c r="A68" s="46" t="s">
        <v>199</v>
      </c>
      <c r="B68" s="47" t="s">
        <v>69</v>
      </c>
      <c r="C68" s="45" t="s">
        <v>653</v>
      </c>
      <c r="D68" s="45" t="s">
        <v>621</v>
      </c>
      <c r="E68" s="45" t="s">
        <v>17</v>
      </c>
      <c r="F68" s="48" t="s">
        <v>17</v>
      </c>
      <c r="G68" s="45">
        <f t="shared" si="3"/>
        <v>1</v>
      </c>
    </row>
    <row r="69" spans="1:7">
      <c r="A69" s="46" t="s">
        <v>202</v>
      </c>
      <c r="B69" s="47" t="s">
        <v>69</v>
      </c>
      <c r="C69" s="45" t="s">
        <v>653</v>
      </c>
      <c r="D69" s="45" t="s">
        <v>621</v>
      </c>
      <c r="E69" s="45" t="s">
        <v>17</v>
      </c>
      <c r="F69" s="48" t="s">
        <v>30</v>
      </c>
      <c r="G69" s="45">
        <f t="shared" si="3"/>
        <v>0</v>
      </c>
    </row>
    <row r="70" spans="1:7">
      <c r="A70" s="46" t="s">
        <v>205</v>
      </c>
      <c r="B70" s="47" t="s">
        <v>69</v>
      </c>
      <c r="C70" s="45" t="s">
        <v>653</v>
      </c>
      <c r="D70" s="45" t="s">
        <v>621</v>
      </c>
      <c r="E70" s="45" t="s">
        <v>17</v>
      </c>
      <c r="F70" s="48" t="s">
        <v>26</v>
      </c>
      <c r="G70" s="45">
        <f t="shared" si="3"/>
        <v>0</v>
      </c>
    </row>
    <row r="71" spans="1:7">
      <c r="A71" s="46" t="s">
        <v>207</v>
      </c>
      <c r="B71" s="47" t="s">
        <v>69</v>
      </c>
      <c r="C71" s="45" t="s">
        <v>653</v>
      </c>
      <c r="D71" s="45" t="s">
        <v>621</v>
      </c>
      <c r="E71" s="45" t="s">
        <v>17</v>
      </c>
      <c r="F71" s="48" t="s">
        <v>17</v>
      </c>
      <c r="G71" s="45">
        <f t="shared" si="3"/>
        <v>1</v>
      </c>
    </row>
    <row r="72" spans="1:7">
      <c r="A72" s="46" t="s">
        <v>210</v>
      </c>
      <c r="B72" s="47" t="s">
        <v>69</v>
      </c>
      <c r="C72" s="45" t="s">
        <v>653</v>
      </c>
      <c r="D72" s="45" t="s">
        <v>621</v>
      </c>
      <c r="E72" s="45" t="s">
        <v>30</v>
      </c>
      <c r="F72" s="48" t="s">
        <v>11</v>
      </c>
      <c r="G72" s="45">
        <f t="shared" si="3"/>
        <v>0</v>
      </c>
    </row>
    <row r="73" spans="1:7">
      <c r="A73" s="46" t="s">
        <v>213</v>
      </c>
      <c r="B73" s="47" t="s">
        <v>69</v>
      </c>
      <c r="C73" s="45" t="s">
        <v>653</v>
      </c>
      <c r="D73" s="45" t="s">
        <v>621</v>
      </c>
      <c r="E73" s="45" t="s">
        <v>17</v>
      </c>
      <c r="F73" s="48" t="s">
        <v>30</v>
      </c>
      <c r="G73" s="45">
        <f t="shared" si="3"/>
        <v>0</v>
      </c>
    </row>
    <row r="74" spans="1:7">
      <c r="A74" s="46" t="s">
        <v>216</v>
      </c>
      <c r="B74" s="47" t="s">
        <v>69</v>
      </c>
      <c r="C74" s="45" t="s">
        <v>653</v>
      </c>
      <c r="D74" s="45" t="s">
        <v>621</v>
      </c>
      <c r="E74" s="45" t="s">
        <v>30</v>
      </c>
      <c r="F74" s="48" t="s">
        <v>11</v>
      </c>
      <c r="G74" s="45">
        <f t="shared" si="3"/>
        <v>0</v>
      </c>
    </row>
    <row r="75" spans="1:7">
      <c r="A75" s="46" t="s">
        <v>219</v>
      </c>
      <c r="B75" s="47" t="s">
        <v>69</v>
      </c>
      <c r="C75" s="45" t="s">
        <v>653</v>
      </c>
      <c r="D75" s="45" t="s">
        <v>621</v>
      </c>
      <c r="E75" s="45" t="s">
        <v>17</v>
      </c>
      <c r="F75" s="48" t="s">
        <v>17</v>
      </c>
      <c r="G75" s="45">
        <f t="shared" si="3"/>
        <v>1</v>
      </c>
    </row>
    <row r="76" spans="1:7">
      <c r="A76" s="46" t="s">
        <v>222</v>
      </c>
      <c r="B76" s="47" t="s">
        <v>69</v>
      </c>
      <c r="C76" s="45" t="s">
        <v>653</v>
      </c>
      <c r="D76" s="45" t="s">
        <v>621</v>
      </c>
      <c r="E76" s="45" t="s">
        <v>30</v>
      </c>
      <c r="F76" s="48" t="s">
        <v>11</v>
      </c>
      <c r="G76" s="45">
        <f t="shared" si="3"/>
        <v>0</v>
      </c>
    </row>
    <row r="77" spans="1:7">
      <c r="A77" s="46" t="s">
        <v>225</v>
      </c>
      <c r="B77" s="47" t="s">
        <v>69</v>
      </c>
      <c r="C77" s="45" t="s">
        <v>653</v>
      </c>
      <c r="D77" s="45" t="s">
        <v>621</v>
      </c>
      <c r="E77" s="45" t="s">
        <v>30</v>
      </c>
      <c r="F77" s="48" t="s">
        <v>11</v>
      </c>
      <c r="G77" s="45">
        <f t="shared" si="3"/>
        <v>0</v>
      </c>
    </row>
    <row r="78" spans="1:7">
      <c r="A78" s="46" t="s">
        <v>227</v>
      </c>
      <c r="B78" s="47" t="s">
        <v>69</v>
      </c>
      <c r="C78" s="45" t="s">
        <v>653</v>
      </c>
      <c r="D78" s="45" t="s">
        <v>621</v>
      </c>
      <c r="E78" s="45" t="s">
        <v>26</v>
      </c>
      <c r="F78" s="48" t="s">
        <v>26</v>
      </c>
      <c r="G78" s="45">
        <f t="shared" si="3"/>
        <v>1</v>
      </c>
    </row>
    <row r="79" spans="1:7">
      <c r="A79" s="46" t="s">
        <v>230</v>
      </c>
      <c r="B79" s="47" t="s">
        <v>69</v>
      </c>
      <c r="C79" s="45" t="s">
        <v>653</v>
      </c>
      <c r="D79" s="45" t="s">
        <v>621</v>
      </c>
      <c r="E79" s="45" t="s">
        <v>30</v>
      </c>
      <c r="F79" s="48" t="s">
        <v>17</v>
      </c>
      <c r="G79" s="45">
        <f t="shared" si="3"/>
        <v>0</v>
      </c>
    </row>
    <row r="80" spans="1:7">
      <c r="A80" s="46" t="s">
        <v>233</v>
      </c>
      <c r="B80" s="47" t="s">
        <v>69</v>
      </c>
      <c r="C80" s="45" t="s">
        <v>653</v>
      </c>
      <c r="D80" s="45" t="s">
        <v>621</v>
      </c>
      <c r="E80" s="45" t="s">
        <v>17</v>
      </c>
      <c r="F80" s="48" t="s">
        <v>26</v>
      </c>
      <c r="G80" s="45">
        <f t="shared" si="3"/>
        <v>0</v>
      </c>
    </row>
    <row r="81" spans="1:7">
      <c r="A81" s="46" t="s">
        <v>236</v>
      </c>
      <c r="B81" s="47" t="s">
        <v>69</v>
      </c>
      <c r="C81" s="45" t="s">
        <v>653</v>
      </c>
      <c r="D81" s="45" t="s">
        <v>621</v>
      </c>
      <c r="E81" s="45" t="s">
        <v>17</v>
      </c>
      <c r="F81" s="48" t="s">
        <v>11</v>
      </c>
      <c r="G81" s="45">
        <f t="shared" si="3"/>
        <v>0</v>
      </c>
    </row>
    <row r="82" spans="1:7">
      <c r="A82" s="46" t="s">
        <v>238</v>
      </c>
      <c r="B82" s="47" t="s">
        <v>69</v>
      </c>
      <c r="C82" s="45" t="s">
        <v>653</v>
      </c>
      <c r="D82" s="45" t="s">
        <v>621</v>
      </c>
      <c r="E82" s="45" t="s">
        <v>30</v>
      </c>
      <c r="F82" s="48" t="s">
        <v>26</v>
      </c>
      <c r="G82" s="45">
        <f t="shared" si="3"/>
        <v>0</v>
      </c>
    </row>
    <row r="83" spans="1:7">
      <c r="A83" s="46" t="s">
        <v>241</v>
      </c>
      <c r="B83" s="47" t="s">
        <v>69</v>
      </c>
      <c r="C83" s="45" t="s">
        <v>653</v>
      </c>
      <c r="D83" s="45" t="s">
        <v>621</v>
      </c>
      <c r="E83" s="45" t="s">
        <v>17</v>
      </c>
      <c r="F83" s="48" t="s">
        <v>17</v>
      </c>
      <c r="G83" s="45">
        <f t="shared" si="3"/>
        <v>1</v>
      </c>
    </row>
    <row r="84" spans="1:7">
      <c r="A84" s="46" t="s">
        <v>244</v>
      </c>
      <c r="B84" s="47" t="s">
        <v>69</v>
      </c>
      <c r="C84" s="45" t="s">
        <v>653</v>
      </c>
      <c r="D84" s="45" t="s">
        <v>621</v>
      </c>
      <c r="E84" s="45" t="s">
        <v>30</v>
      </c>
      <c r="F84" s="48" t="s">
        <v>30</v>
      </c>
      <c r="G84" s="45">
        <f t="shared" si="3"/>
        <v>1</v>
      </c>
    </row>
    <row r="85" spans="1:7">
      <c r="A85" s="46" t="s">
        <v>247</v>
      </c>
      <c r="B85" s="47" t="s">
        <v>8</v>
      </c>
      <c r="C85" s="45" t="s">
        <v>653</v>
      </c>
      <c r="D85" s="45" t="s">
        <v>621</v>
      </c>
      <c r="E85" s="45" t="s">
        <v>30</v>
      </c>
      <c r="F85" s="48" t="s">
        <v>30</v>
      </c>
      <c r="G85" s="45">
        <f t="shared" si="3"/>
        <v>1</v>
      </c>
    </row>
    <row r="86" spans="1:7">
      <c r="A86" s="46" t="s">
        <v>249</v>
      </c>
      <c r="B86" s="47" t="s">
        <v>8</v>
      </c>
      <c r="C86" s="45" t="s">
        <v>653</v>
      </c>
      <c r="D86" s="45" t="s">
        <v>621</v>
      </c>
      <c r="E86" s="45" t="s">
        <v>17</v>
      </c>
      <c r="F86" s="48" t="s">
        <v>30</v>
      </c>
      <c r="G86" s="45">
        <f t="shared" si="3"/>
        <v>0</v>
      </c>
    </row>
    <row r="87" spans="1:7">
      <c r="A87" s="46" t="s">
        <v>252</v>
      </c>
      <c r="B87" s="47" t="s">
        <v>8</v>
      </c>
      <c r="C87" s="45" t="s">
        <v>653</v>
      </c>
      <c r="D87" s="45" t="s">
        <v>621</v>
      </c>
      <c r="E87" s="45" t="s">
        <v>30</v>
      </c>
      <c r="F87" s="48" t="s">
        <v>11</v>
      </c>
      <c r="G87" s="45">
        <f t="shared" si="3"/>
        <v>0</v>
      </c>
    </row>
    <row r="88" spans="1:7">
      <c r="A88" s="46" t="s">
        <v>255</v>
      </c>
      <c r="B88" s="47" t="s">
        <v>8</v>
      </c>
      <c r="C88" s="45" t="s">
        <v>653</v>
      </c>
      <c r="D88" s="45" t="s">
        <v>621</v>
      </c>
      <c r="E88" s="45" t="s">
        <v>17</v>
      </c>
      <c r="F88" s="48" t="s">
        <v>26</v>
      </c>
      <c r="G88" s="45">
        <f t="shared" si="3"/>
        <v>0</v>
      </c>
    </row>
    <row r="89" spans="1:7">
      <c r="A89" s="46" t="s">
        <v>258</v>
      </c>
      <c r="B89" s="47" t="s">
        <v>8</v>
      </c>
      <c r="C89" s="45" t="s">
        <v>653</v>
      </c>
      <c r="D89" s="45" t="s">
        <v>621</v>
      </c>
      <c r="E89" s="45" t="s">
        <v>30</v>
      </c>
      <c r="F89" s="48" t="s">
        <v>11</v>
      </c>
      <c r="G89" s="45">
        <f t="shared" si="3"/>
        <v>0</v>
      </c>
    </row>
    <row r="90" spans="1:7">
      <c r="A90" s="46" t="s">
        <v>260</v>
      </c>
      <c r="B90" s="47" t="s">
        <v>8</v>
      </c>
      <c r="C90" s="45" t="s">
        <v>653</v>
      </c>
      <c r="D90" s="45" t="s">
        <v>621</v>
      </c>
      <c r="E90" s="45" t="s">
        <v>17</v>
      </c>
      <c r="F90" s="48" t="s">
        <v>26</v>
      </c>
      <c r="G90" s="45">
        <f t="shared" si="3"/>
        <v>0</v>
      </c>
    </row>
    <row r="91" spans="1:7">
      <c r="A91" s="46" t="s">
        <v>263</v>
      </c>
      <c r="B91" s="47" t="s">
        <v>8</v>
      </c>
      <c r="C91" s="45" t="s">
        <v>653</v>
      </c>
      <c r="D91" s="45" t="s">
        <v>621</v>
      </c>
      <c r="E91" s="45" t="s">
        <v>17</v>
      </c>
      <c r="F91" s="48" t="s">
        <v>11</v>
      </c>
      <c r="G91" s="45">
        <f t="shared" si="3"/>
        <v>0</v>
      </c>
    </row>
    <row r="92" spans="1:7">
      <c r="A92" s="46" t="s">
        <v>266</v>
      </c>
      <c r="B92" s="47" t="s">
        <v>8</v>
      </c>
      <c r="C92" s="45" t="s">
        <v>653</v>
      </c>
      <c r="D92" s="45" t="s">
        <v>621</v>
      </c>
      <c r="E92" s="45" t="s">
        <v>30</v>
      </c>
      <c r="F92" s="48" t="s">
        <v>11</v>
      </c>
      <c r="G92" s="45">
        <f t="shared" si="3"/>
        <v>0</v>
      </c>
    </row>
    <row r="93" spans="1:7">
      <c r="A93" s="46" t="s">
        <v>269</v>
      </c>
      <c r="B93" s="47" t="s">
        <v>8</v>
      </c>
      <c r="C93" s="45" t="s">
        <v>653</v>
      </c>
      <c r="D93" s="45" t="s">
        <v>621</v>
      </c>
      <c r="E93" s="45" t="s">
        <v>26</v>
      </c>
      <c r="F93" s="48" t="s">
        <v>11</v>
      </c>
      <c r="G93" s="45">
        <f t="shared" si="3"/>
        <v>0</v>
      </c>
    </row>
    <row r="94" spans="1:7">
      <c r="A94" s="46" t="s">
        <v>272</v>
      </c>
      <c r="B94" s="47" t="s">
        <v>8</v>
      </c>
      <c r="C94" s="45" t="s">
        <v>653</v>
      </c>
      <c r="D94" s="45" t="s">
        <v>621</v>
      </c>
      <c r="E94" s="45" t="s">
        <v>11</v>
      </c>
      <c r="F94" s="48" t="s">
        <v>26</v>
      </c>
      <c r="G94" s="45">
        <f t="shared" si="3"/>
        <v>0</v>
      </c>
    </row>
    <row r="95" spans="1:7">
      <c r="A95" s="46" t="s">
        <v>275</v>
      </c>
      <c r="B95" s="47" t="s">
        <v>8</v>
      </c>
      <c r="C95" s="45" t="s">
        <v>653</v>
      </c>
      <c r="D95" s="45" t="s">
        <v>621</v>
      </c>
      <c r="E95" s="45" t="s">
        <v>30</v>
      </c>
      <c r="F95" s="48" t="s">
        <v>30</v>
      </c>
      <c r="G95" s="45">
        <f t="shared" si="3"/>
        <v>1</v>
      </c>
    </row>
    <row r="96" spans="1:7">
      <c r="A96" s="46" t="s">
        <v>277</v>
      </c>
      <c r="B96" s="47" t="s">
        <v>8</v>
      </c>
      <c r="C96" s="45" t="s">
        <v>653</v>
      </c>
      <c r="D96" s="45" t="s">
        <v>621</v>
      </c>
      <c r="E96" s="45" t="s">
        <v>30</v>
      </c>
      <c r="F96" s="48" t="s">
        <v>26</v>
      </c>
      <c r="G96" s="45">
        <f t="shared" si="3"/>
        <v>0</v>
      </c>
    </row>
    <row r="97" spans="1:7">
      <c r="A97" s="46" t="s">
        <v>280</v>
      </c>
      <c r="B97" s="47" t="s">
        <v>8</v>
      </c>
      <c r="C97" s="45" t="s">
        <v>653</v>
      </c>
      <c r="D97" s="45" t="s">
        <v>621</v>
      </c>
      <c r="E97" s="45" t="s">
        <v>17</v>
      </c>
      <c r="F97" s="48" t="s">
        <v>17</v>
      </c>
      <c r="G97" s="45">
        <f t="shared" si="3"/>
        <v>1</v>
      </c>
    </row>
    <row r="98" spans="1:7">
      <c r="A98" s="46" t="s">
        <v>282</v>
      </c>
      <c r="B98" s="47" t="s">
        <v>8</v>
      </c>
      <c r="C98" s="45" t="s">
        <v>653</v>
      </c>
      <c r="D98" s="45" t="s">
        <v>621</v>
      </c>
      <c r="E98" s="45" t="s">
        <v>11</v>
      </c>
      <c r="F98" s="48" t="s">
        <v>30</v>
      </c>
      <c r="G98" s="45">
        <f t="shared" si="3"/>
        <v>0</v>
      </c>
    </row>
    <row r="99" spans="1:7">
      <c r="A99" s="46" t="s">
        <v>284</v>
      </c>
      <c r="B99" s="47" t="s">
        <v>113</v>
      </c>
      <c r="C99" s="45" t="s">
        <v>653</v>
      </c>
      <c r="D99" s="45" t="s">
        <v>621</v>
      </c>
      <c r="E99" s="45" t="s">
        <v>17</v>
      </c>
      <c r="F99" s="48" t="s">
        <v>30</v>
      </c>
      <c r="G99" s="45">
        <f t="shared" si="3"/>
        <v>0</v>
      </c>
    </row>
    <row r="100" spans="1:7">
      <c r="A100" s="46" t="s">
        <v>287</v>
      </c>
      <c r="B100" s="47" t="s">
        <v>113</v>
      </c>
      <c r="C100" s="45" t="s">
        <v>653</v>
      </c>
      <c r="D100" s="45" t="s">
        <v>621</v>
      </c>
      <c r="E100" s="45" t="s">
        <v>26</v>
      </c>
      <c r="F100" s="48" t="s">
        <v>11</v>
      </c>
      <c r="G100" s="45">
        <f t="shared" si="3"/>
        <v>0</v>
      </c>
    </row>
    <row r="101" spans="1:7">
      <c r="A101" s="46" t="s">
        <v>290</v>
      </c>
      <c r="B101" s="47" t="s">
        <v>113</v>
      </c>
      <c r="C101" s="45" t="s">
        <v>653</v>
      </c>
      <c r="D101" s="45" t="s">
        <v>621</v>
      </c>
      <c r="E101" s="45" t="s">
        <v>11</v>
      </c>
      <c r="F101" s="48" t="s">
        <v>11</v>
      </c>
      <c r="G101" s="45">
        <f t="shared" si="3"/>
        <v>1</v>
      </c>
    </row>
    <row r="102" spans="1:7">
      <c r="A102" s="46" t="s">
        <v>293</v>
      </c>
      <c r="B102" s="47" t="s">
        <v>113</v>
      </c>
      <c r="C102" s="45" t="s">
        <v>653</v>
      </c>
      <c r="D102" s="45" t="s">
        <v>621</v>
      </c>
      <c r="E102" s="45" t="s">
        <v>11</v>
      </c>
      <c r="F102" s="48" t="s">
        <v>11</v>
      </c>
      <c r="G102" s="45">
        <f t="shared" si="3"/>
        <v>1</v>
      </c>
    </row>
    <row r="103" spans="1:7">
      <c r="A103" s="46" t="s">
        <v>296</v>
      </c>
      <c r="B103" s="47" t="s">
        <v>113</v>
      </c>
      <c r="C103" s="45" t="s">
        <v>653</v>
      </c>
      <c r="D103" s="45" t="s">
        <v>621</v>
      </c>
      <c r="E103" s="45" t="s">
        <v>11</v>
      </c>
      <c r="F103" s="48" t="s">
        <v>26</v>
      </c>
      <c r="G103" s="45">
        <f t="shared" si="3"/>
        <v>0</v>
      </c>
    </row>
    <row r="104" spans="1:7">
      <c r="A104" s="46" t="s">
        <v>299</v>
      </c>
      <c r="B104" s="47" t="s">
        <v>113</v>
      </c>
      <c r="C104" s="45" t="s">
        <v>653</v>
      </c>
      <c r="D104" s="45" t="s">
        <v>621</v>
      </c>
      <c r="E104" s="45" t="s">
        <v>17</v>
      </c>
      <c r="F104" s="48" t="s">
        <v>17</v>
      </c>
      <c r="G104" s="45">
        <f t="shared" si="3"/>
        <v>1</v>
      </c>
    </row>
    <row r="105" spans="1:7">
      <c r="A105" s="46" t="s">
        <v>302</v>
      </c>
      <c r="B105" s="47" t="s">
        <v>113</v>
      </c>
      <c r="C105" s="45" t="s">
        <v>653</v>
      </c>
      <c r="D105" s="45" t="s">
        <v>621</v>
      </c>
      <c r="E105" s="45" t="s">
        <v>30</v>
      </c>
      <c r="F105" s="48" t="s">
        <v>26</v>
      </c>
      <c r="G105" s="45">
        <f t="shared" si="3"/>
        <v>0</v>
      </c>
    </row>
    <row r="106" spans="1:7">
      <c r="A106" s="46" t="s">
        <v>305</v>
      </c>
      <c r="B106" s="47" t="s">
        <v>113</v>
      </c>
      <c r="C106" s="45" t="s">
        <v>653</v>
      </c>
      <c r="D106" s="45" t="s">
        <v>621</v>
      </c>
      <c r="E106" s="45" t="s">
        <v>17</v>
      </c>
      <c r="F106" s="48" t="s">
        <v>17</v>
      </c>
      <c r="G106" s="45">
        <f t="shared" si="3"/>
        <v>1</v>
      </c>
    </row>
    <row r="107" spans="1:7">
      <c r="A107" s="46" t="s">
        <v>308</v>
      </c>
      <c r="B107" s="47" t="s">
        <v>113</v>
      </c>
      <c r="C107" s="45" t="s">
        <v>653</v>
      </c>
      <c r="D107" s="45" t="s">
        <v>621</v>
      </c>
      <c r="E107" s="45" t="s">
        <v>11</v>
      </c>
      <c r="F107" s="48" t="s">
        <v>30</v>
      </c>
      <c r="G107" s="45">
        <f t="shared" si="3"/>
        <v>0</v>
      </c>
    </row>
    <row r="108" spans="1:7">
      <c r="A108" s="46" t="s">
        <v>310</v>
      </c>
      <c r="B108" s="47" t="s">
        <v>135</v>
      </c>
      <c r="C108" s="45" t="s">
        <v>653</v>
      </c>
      <c r="D108" s="45" t="s">
        <v>621</v>
      </c>
      <c r="E108" s="45" t="s">
        <v>26</v>
      </c>
      <c r="F108" s="48" t="s">
        <v>17</v>
      </c>
      <c r="G108" s="45">
        <f t="shared" si="3"/>
        <v>0</v>
      </c>
    </row>
    <row r="109" spans="1:7">
      <c r="A109" s="46" t="s">
        <v>313</v>
      </c>
      <c r="B109" s="47" t="s">
        <v>135</v>
      </c>
      <c r="C109" s="45" t="s">
        <v>653</v>
      </c>
      <c r="D109" s="45" t="s">
        <v>621</v>
      </c>
      <c r="E109" s="45" t="s">
        <v>11</v>
      </c>
      <c r="F109" s="48" t="s">
        <v>26</v>
      </c>
      <c r="G109" s="45">
        <f t="shared" si="3"/>
        <v>0</v>
      </c>
    </row>
    <row r="110" spans="1:7">
      <c r="A110" s="46" t="s">
        <v>316</v>
      </c>
      <c r="B110" s="47" t="s">
        <v>135</v>
      </c>
      <c r="C110" s="45" t="s">
        <v>653</v>
      </c>
      <c r="D110" s="45" t="s">
        <v>621</v>
      </c>
      <c r="E110" s="45" t="s">
        <v>11</v>
      </c>
      <c r="F110" s="48" t="s">
        <v>11</v>
      </c>
      <c r="G110" s="45">
        <f t="shared" si="3"/>
        <v>1</v>
      </c>
    </row>
    <row r="111" spans="1:7">
      <c r="A111" s="46" t="s">
        <v>318</v>
      </c>
      <c r="B111" s="47" t="s">
        <v>113</v>
      </c>
      <c r="C111" s="45" t="s">
        <v>653</v>
      </c>
      <c r="D111" s="45" t="s">
        <v>621</v>
      </c>
      <c r="E111" s="45" t="s">
        <v>26</v>
      </c>
      <c r="F111" s="48" t="s">
        <v>11</v>
      </c>
      <c r="G111" s="45">
        <f t="shared" si="3"/>
        <v>0</v>
      </c>
    </row>
    <row r="112" spans="1:7">
      <c r="A112" s="46" t="s">
        <v>321</v>
      </c>
      <c r="B112" s="47" t="s">
        <v>113</v>
      </c>
      <c r="C112" s="45" t="s">
        <v>653</v>
      </c>
      <c r="D112" s="45" t="s">
        <v>621</v>
      </c>
      <c r="E112" s="45" t="s">
        <v>11</v>
      </c>
      <c r="F112" s="48" t="s">
        <v>11</v>
      </c>
      <c r="G112" s="45">
        <f t="shared" si="3"/>
        <v>1</v>
      </c>
    </row>
    <row r="113" spans="1:7">
      <c r="A113" s="46" t="s">
        <v>324</v>
      </c>
      <c r="B113" s="47" t="s">
        <v>113</v>
      </c>
      <c r="C113" s="45" t="s">
        <v>653</v>
      </c>
      <c r="D113" s="45" t="s">
        <v>621</v>
      </c>
      <c r="E113" s="45" t="s">
        <v>30</v>
      </c>
      <c r="F113" s="48" t="s">
        <v>11</v>
      </c>
      <c r="G113" s="45">
        <f t="shared" si="3"/>
        <v>0</v>
      </c>
    </row>
    <row r="114" spans="1:7">
      <c r="A114" s="46" t="s">
        <v>327</v>
      </c>
      <c r="B114" s="47" t="s">
        <v>113</v>
      </c>
      <c r="C114" s="45" t="s">
        <v>653</v>
      </c>
      <c r="D114" s="45" t="s">
        <v>621</v>
      </c>
      <c r="E114" s="45" t="s">
        <v>17</v>
      </c>
      <c r="F114" s="48" t="s">
        <v>26</v>
      </c>
      <c r="G114" s="45">
        <f t="shared" si="3"/>
        <v>0</v>
      </c>
    </row>
    <row r="115" spans="1:7">
      <c r="A115" s="46" t="s">
        <v>330</v>
      </c>
      <c r="B115" s="47" t="s">
        <v>8</v>
      </c>
      <c r="C115" s="45" t="s">
        <v>653</v>
      </c>
      <c r="D115" s="45" t="s">
        <v>621</v>
      </c>
      <c r="E115" s="45" t="s">
        <v>17</v>
      </c>
      <c r="F115" s="48" t="s">
        <v>11</v>
      </c>
      <c r="G115" s="45">
        <f t="shared" si="3"/>
        <v>0</v>
      </c>
    </row>
    <row r="116" spans="1:7">
      <c r="A116" s="46" t="s">
        <v>333</v>
      </c>
      <c r="B116" s="47" t="s">
        <v>8</v>
      </c>
      <c r="C116" s="45" t="s">
        <v>653</v>
      </c>
      <c r="D116" s="45" t="s">
        <v>621</v>
      </c>
      <c r="E116" s="45" t="s">
        <v>17</v>
      </c>
      <c r="F116" s="48" t="s">
        <v>17</v>
      </c>
      <c r="G116" s="45">
        <f t="shared" si="3"/>
        <v>1</v>
      </c>
    </row>
    <row r="117" spans="1:7">
      <c r="A117" s="46" t="s">
        <v>336</v>
      </c>
      <c r="B117" s="47" t="s">
        <v>8</v>
      </c>
      <c r="C117" s="45" t="s">
        <v>653</v>
      </c>
      <c r="D117" s="45" t="s">
        <v>621</v>
      </c>
      <c r="E117" s="45" t="s">
        <v>17</v>
      </c>
      <c r="F117" s="48" t="s">
        <v>17</v>
      </c>
      <c r="G117" s="45">
        <f t="shared" si="3"/>
        <v>1</v>
      </c>
    </row>
    <row r="118" spans="1:7">
      <c r="A118" s="46" t="s">
        <v>339</v>
      </c>
      <c r="B118" s="47" t="s">
        <v>8</v>
      </c>
      <c r="C118" s="45" t="s">
        <v>653</v>
      </c>
      <c r="D118" s="45" t="s">
        <v>621</v>
      </c>
      <c r="E118" s="45" t="s">
        <v>17</v>
      </c>
      <c r="F118" s="48" t="s">
        <v>11</v>
      </c>
      <c r="G118" s="45">
        <f t="shared" si="3"/>
        <v>0</v>
      </c>
    </row>
    <row r="119" spans="1:7">
      <c r="A119" s="46" t="s">
        <v>341</v>
      </c>
      <c r="B119" s="47" t="s">
        <v>8</v>
      </c>
      <c r="C119" s="45" t="s">
        <v>653</v>
      </c>
      <c r="D119" s="45" t="s">
        <v>621</v>
      </c>
      <c r="E119" s="45" t="s">
        <v>30</v>
      </c>
      <c r="F119" s="48" t="s">
        <v>30</v>
      </c>
      <c r="G119" s="45">
        <f t="shared" si="3"/>
        <v>1</v>
      </c>
    </row>
    <row r="120" spans="1:7">
      <c r="A120" s="46" t="s">
        <v>344</v>
      </c>
      <c r="B120" s="47" t="s">
        <v>8</v>
      </c>
      <c r="C120" s="45" t="s">
        <v>653</v>
      </c>
      <c r="D120" s="45" t="s">
        <v>621</v>
      </c>
      <c r="E120" s="45" t="s">
        <v>30</v>
      </c>
      <c r="F120" s="48" t="s">
        <v>83</v>
      </c>
      <c r="G120" s="45">
        <f t="shared" si="3"/>
        <v>0</v>
      </c>
    </row>
    <row r="121" spans="1:7">
      <c r="A121" s="46" t="s">
        <v>346</v>
      </c>
      <c r="B121" s="47" t="s">
        <v>8</v>
      </c>
      <c r="C121" s="45" t="s">
        <v>653</v>
      </c>
      <c r="D121" s="45" t="s">
        <v>621</v>
      </c>
      <c r="E121" s="45" t="s">
        <v>30</v>
      </c>
      <c r="F121" s="48" t="s">
        <v>30</v>
      </c>
      <c r="G121" s="45">
        <f t="shared" si="3"/>
        <v>1</v>
      </c>
    </row>
    <row r="122" spans="1:7">
      <c r="A122" s="46" t="s">
        <v>349</v>
      </c>
      <c r="B122" s="47" t="s">
        <v>8</v>
      </c>
      <c r="C122" s="45" t="s">
        <v>653</v>
      </c>
      <c r="D122" s="45" t="s">
        <v>621</v>
      </c>
      <c r="E122" s="45" t="s">
        <v>17</v>
      </c>
      <c r="F122" s="48" t="s">
        <v>17</v>
      </c>
      <c r="G122" s="45">
        <f t="shared" si="3"/>
        <v>1</v>
      </c>
    </row>
    <row r="123" spans="1:7">
      <c r="A123" s="46" t="s">
        <v>351</v>
      </c>
      <c r="B123" s="47" t="s">
        <v>8</v>
      </c>
      <c r="C123" s="45" t="s">
        <v>653</v>
      </c>
      <c r="D123" s="45" t="s">
        <v>621</v>
      </c>
      <c r="E123" s="45" t="s">
        <v>11</v>
      </c>
      <c r="F123" s="48" t="s">
        <v>26</v>
      </c>
      <c r="G123" s="45">
        <f t="shared" si="3"/>
        <v>0</v>
      </c>
    </row>
    <row r="124" spans="1:7">
      <c r="A124" s="46" t="s">
        <v>354</v>
      </c>
      <c r="B124" s="47" t="s">
        <v>8</v>
      </c>
      <c r="C124" s="45" t="s">
        <v>653</v>
      </c>
      <c r="D124" s="45" t="s">
        <v>621</v>
      </c>
      <c r="E124" s="45" t="s">
        <v>30</v>
      </c>
      <c r="F124" s="48" t="s">
        <v>11</v>
      </c>
      <c r="G124" s="45">
        <f t="shared" si="3"/>
        <v>0</v>
      </c>
    </row>
    <row r="125" spans="1:7">
      <c r="A125" s="46" t="s">
        <v>356</v>
      </c>
      <c r="B125" s="47" t="s">
        <v>8</v>
      </c>
      <c r="C125" s="45" t="s">
        <v>653</v>
      </c>
      <c r="D125" s="45" t="s">
        <v>621</v>
      </c>
      <c r="E125" s="45" t="s">
        <v>17</v>
      </c>
      <c r="F125" s="48" t="s">
        <v>17</v>
      </c>
      <c r="G125" s="45">
        <f t="shared" si="3"/>
        <v>1</v>
      </c>
    </row>
    <row r="126" spans="1:7">
      <c r="A126" s="46" t="s">
        <v>359</v>
      </c>
      <c r="B126" s="47" t="s">
        <v>8</v>
      </c>
      <c r="C126" s="45" t="s">
        <v>653</v>
      </c>
      <c r="D126" s="45" t="s">
        <v>621</v>
      </c>
      <c r="E126" s="45" t="s">
        <v>30</v>
      </c>
      <c r="F126" s="48" t="s">
        <v>30</v>
      </c>
      <c r="G126" s="45">
        <f t="shared" si="3"/>
        <v>1</v>
      </c>
    </row>
    <row r="127" spans="1:7">
      <c r="A127" s="46" t="s">
        <v>362</v>
      </c>
      <c r="B127" s="47" t="s">
        <v>8</v>
      </c>
      <c r="C127" s="45" t="s">
        <v>653</v>
      </c>
      <c r="D127" s="45" t="s">
        <v>621</v>
      </c>
      <c r="E127" s="45" t="s">
        <v>26</v>
      </c>
      <c r="F127" s="48" t="s">
        <v>26</v>
      </c>
      <c r="G127" s="45">
        <f t="shared" si="3"/>
        <v>1</v>
      </c>
    </row>
    <row r="128" spans="1:7">
      <c r="A128" s="46" t="s">
        <v>365</v>
      </c>
      <c r="B128" s="47" t="s">
        <v>8</v>
      </c>
      <c r="C128" s="45" t="s">
        <v>653</v>
      </c>
      <c r="D128" s="45" t="s">
        <v>621</v>
      </c>
      <c r="E128" s="45" t="s">
        <v>11</v>
      </c>
      <c r="F128" s="48" t="s">
        <v>11</v>
      </c>
      <c r="G128" s="45">
        <f t="shared" si="3"/>
        <v>1</v>
      </c>
    </row>
    <row r="129" spans="1:7">
      <c r="A129" s="46" t="s">
        <v>367</v>
      </c>
      <c r="B129" s="47" t="s">
        <v>39</v>
      </c>
      <c r="C129" s="45" t="s">
        <v>653</v>
      </c>
      <c r="D129" s="45" t="s">
        <v>621</v>
      </c>
      <c r="E129" s="45" t="s">
        <v>30</v>
      </c>
      <c r="F129" s="48" t="s">
        <v>30</v>
      </c>
      <c r="G129" s="45">
        <f t="shared" si="3"/>
        <v>1</v>
      </c>
    </row>
    <row r="130" spans="1:7">
      <c r="A130" s="46" t="s">
        <v>369</v>
      </c>
      <c r="B130" s="47" t="s">
        <v>39</v>
      </c>
      <c r="C130" s="45" t="s">
        <v>653</v>
      </c>
      <c r="D130" s="45" t="s">
        <v>621</v>
      </c>
      <c r="E130" s="45" t="s">
        <v>26</v>
      </c>
      <c r="F130" s="48" t="s">
        <v>26</v>
      </c>
      <c r="G130" s="45">
        <f t="shared" ref="G130:G156" si="4">IF(E130=F130,1,0)</f>
        <v>1</v>
      </c>
    </row>
    <row r="131" spans="1:7">
      <c r="A131" s="46" t="s">
        <v>372</v>
      </c>
      <c r="B131" s="47" t="s">
        <v>39</v>
      </c>
      <c r="C131" s="45" t="s">
        <v>653</v>
      </c>
      <c r="D131" s="45" t="s">
        <v>621</v>
      </c>
      <c r="E131" s="45" t="s">
        <v>17</v>
      </c>
      <c r="F131" s="48" t="s">
        <v>30</v>
      </c>
      <c r="G131" s="45">
        <f t="shared" si="4"/>
        <v>0</v>
      </c>
    </row>
    <row r="132" spans="1:7">
      <c r="A132" s="46" t="s">
        <v>375</v>
      </c>
      <c r="B132" s="47" t="s">
        <v>39</v>
      </c>
      <c r="C132" s="45" t="s">
        <v>653</v>
      </c>
      <c r="D132" s="45" t="s">
        <v>621</v>
      </c>
      <c r="E132" s="45" t="s">
        <v>26</v>
      </c>
      <c r="F132" s="48" t="s">
        <v>17</v>
      </c>
      <c r="G132" s="45">
        <f t="shared" si="4"/>
        <v>0</v>
      </c>
    </row>
    <row r="133" spans="1:7">
      <c r="A133" s="46" t="s">
        <v>378</v>
      </c>
      <c r="B133" s="47" t="s">
        <v>39</v>
      </c>
      <c r="C133" s="45" t="s">
        <v>653</v>
      </c>
      <c r="D133" s="45" t="s">
        <v>621</v>
      </c>
      <c r="E133" s="45" t="s">
        <v>11</v>
      </c>
      <c r="F133" s="48" t="s">
        <v>11</v>
      </c>
      <c r="G133" s="45">
        <f t="shared" si="4"/>
        <v>1</v>
      </c>
    </row>
    <row r="134" spans="1:7">
      <c r="A134" s="46" t="s">
        <v>381</v>
      </c>
      <c r="B134" s="47" t="s">
        <v>39</v>
      </c>
      <c r="C134" s="45" t="s">
        <v>653</v>
      </c>
      <c r="D134" s="45" t="s">
        <v>621</v>
      </c>
      <c r="E134" s="45" t="s">
        <v>30</v>
      </c>
      <c r="F134" s="48" t="s">
        <v>17</v>
      </c>
      <c r="G134" s="45">
        <f t="shared" si="4"/>
        <v>0</v>
      </c>
    </row>
    <row r="135" spans="1:7">
      <c r="A135" s="46" t="s">
        <v>383</v>
      </c>
      <c r="B135" s="47" t="s">
        <v>39</v>
      </c>
      <c r="C135" s="45" t="s">
        <v>653</v>
      </c>
      <c r="D135" s="45" t="s">
        <v>621</v>
      </c>
      <c r="E135" s="45" t="s">
        <v>11</v>
      </c>
      <c r="F135" s="48" t="s">
        <v>11</v>
      </c>
      <c r="G135" s="45">
        <f t="shared" si="4"/>
        <v>1</v>
      </c>
    </row>
    <row r="136" spans="1:7">
      <c r="A136" s="46" t="s">
        <v>386</v>
      </c>
      <c r="B136" s="47" t="s">
        <v>39</v>
      </c>
      <c r="C136" s="45" t="s">
        <v>653</v>
      </c>
      <c r="D136" s="45" t="s">
        <v>621</v>
      </c>
      <c r="E136" s="45" t="s">
        <v>26</v>
      </c>
      <c r="F136" s="48" t="s">
        <v>26</v>
      </c>
      <c r="G136" s="45">
        <f t="shared" si="4"/>
        <v>1</v>
      </c>
    </row>
    <row r="137" spans="1:7">
      <c r="A137" s="46" t="s">
        <v>388</v>
      </c>
      <c r="B137" s="47" t="s">
        <v>39</v>
      </c>
      <c r="C137" s="45" t="s">
        <v>653</v>
      </c>
      <c r="D137" s="45" t="s">
        <v>621</v>
      </c>
      <c r="E137" s="45" t="s">
        <v>26</v>
      </c>
      <c r="F137" s="48" t="s">
        <v>17</v>
      </c>
      <c r="G137" s="45">
        <f t="shared" si="4"/>
        <v>0</v>
      </c>
    </row>
    <row r="138" spans="1:7">
      <c r="A138" s="46" t="s">
        <v>390</v>
      </c>
      <c r="B138" s="47" t="s">
        <v>39</v>
      </c>
      <c r="C138" s="45" t="s">
        <v>653</v>
      </c>
      <c r="D138" s="45" t="s">
        <v>621</v>
      </c>
      <c r="E138" s="45" t="s">
        <v>17</v>
      </c>
      <c r="F138" s="48" t="s">
        <v>17</v>
      </c>
      <c r="G138" s="45">
        <f t="shared" si="4"/>
        <v>1</v>
      </c>
    </row>
    <row r="139" spans="1:7">
      <c r="A139" s="46" t="s">
        <v>393</v>
      </c>
      <c r="B139" s="47" t="s">
        <v>39</v>
      </c>
      <c r="C139" s="45" t="s">
        <v>653</v>
      </c>
      <c r="D139" s="45" t="s">
        <v>621</v>
      </c>
      <c r="E139" s="45" t="s">
        <v>26</v>
      </c>
      <c r="F139" s="48" t="s">
        <v>11</v>
      </c>
      <c r="G139" s="45">
        <f t="shared" si="4"/>
        <v>0</v>
      </c>
    </row>
    <row r="140" spans="1:7">
      <c r="A140" s="46" t="s">
        <v>396</v>
      </c>
      <c r="B140" s="47" t="s">
        <v>39</v>
      </c>
      <c r="C140" s="45" t="s">
        <v>653</v>
      </c>
      <c r="D140" s="45" t="s">
        <v>621</v>
      </c>
      <c r="E140" s="45" t="s">
        <v>17</v>
      </c>
      <c r="F140" s="48" t="s">
        <v>26</v>
      </c>
      <c r="G140" s="45">
        <f t="shared" si="4"/>
        <v>0</v>
      </c>
    </row>
    <row r="141" spans="1:7">
      <c r="A141" s="46" t="s">
        <v>399</v>
      </c>
      <c r="B141" s="47" t="s">
        <v>69</v>
      </c>
      <c r="C141" s="45" t="s">
        <v>653</v>
      </c>
      <c r="D141" s="45" t="s">
        <v>621</v>
      </c>
      <c r="E141" s="45" t="s">
        <v>30</v>
      </c>
      <c r="F141" s="48" t="s">
        <v>17</v>
      </c>
      <c r="G141" s="45">
        <f t="shared" si="4"/>
        <v>0</v>
      </c>
    </row>
    <row r="142" spans="1:7">
      <c r="A142" s="46" t="s">
        <v>401</v>
      </c>
      <c r="B142" s="47" t="s">
        <v>69</v>
      </c>
      <c r="C142" s="45" t="s">
        <v>653</v>
      </c>
      <c r="D142" s="45" t="s">
        <v>621</v>
      </c>
      <c r="E142" s="45" t="s">
        <v>17</v>
      </c>
      <c r="F142" s="48" t="s">
        <v>26</v>
      </c>
      <c r="G142" s="45">
        <f t="shared" si="4"/>
        <v>0</v>
      </c>
    </row>
    <row r="143" spans="1:7">
      <c r="A143" s="46" t="s">
        <v>404</v>
      </c>
      <c r="B143" s="47" t="s">
        <v>69</v>
      </c>
      <c r="C143" s="45" t="s">
        <v>653</v>
      </c>
      <c r="D143" s="45" t="s">
        <v>621</v>
      </c>
      <c r="E143" s="45" t="s">
        <v>26</v>
      </c>
      <c r="F143" s="48" t="s">
        <v>17</v>
      </c>
      <c r="G143" s="45">
        <f t="shared" si="4"/>
        <v>0</v>
      </c>
    </row>
    <row r="144" spans="1:7">
      <c r="A144" s="46" t="s">
        <v>407</v>
      </c>
      <c r="B144" s="47" t="s">
        <v>69</v>
      </c>
      <c r="C144" s="45" t="s">
        <v>653</v>
      </c>
      <c r="D144" s="45" t="s">
        <v>621</v>
      </c>
      <c r="E144" s="45" t="s">
        <v>26</v>
      </c>
      <c r="F144" s="48" t="s">
        <v>83</v>
      </c>
      <c r="G144" s="45">
        <f t="shared" si="4"/>
        <v>0</v>
      </c>
    </row>
    <row r="145" spans="1:7">
      <c r="A145" s="46" t="s">
        <v>410</v>
      </c>
      <c r="B145" s="47" t="s">
        <v>69</v>
      </c>
      <c r="C145" s="45" t="s">
        <v>653</v>
      </c>
      <c r="D145" s="45" t="s">
        <v>621</v>
      </c>
      <c r="E145" s="45" t="s">
        <v>26</v>
      </c>
      <c r="F145" s="48" t="s">
        <v>26</v>
      </c>
      <c r="G145" s="45">
        <f t="shared" si="4"/>
        <v>1</v>
      </c>
    </row>
    <row r="146" spans="1:7">
      <c r="A146" s="46" t="s">
        <v>413</v>
      </c>
      <c r="B146" s="47" t="s">
        <v>69</v>
      </c>
      <c r="C146" s="45" t="s">
        <v>653</v>
      </c>
      <c r="D146" s="45" t="s">
        <v>621</v>
      </c>
      <c r="E146" s="45" t="s">
        <v>11</v>
      </c>
      <c r="F146" s="48" t="s">
        <v>26</v>
      </c>
      <c r="G146" s="45">
        <f t="shared" si="4"/>
        <v>0</v>
      </c>
    </row>
    <row r="147" spans="1:7">
      <c r="A147" s="46" t="s">
        <v>416</v>
      </c>
      <c r="B147" s="47" t="s">
        <v>69</v>
      </c>
      <c r="C147" s="45" t="s">
        <v>653</v>
      </c>
      <c r="D147" s="45" t="s">
        <v>621</v>
      </c>
      <c r="E147" s="45" t="s">
        <v>30</v>
      </c>
      <c r="F147" s="48" t="s">
        <v>30</v>
      </c>
      <c r="G147" s="45">
        <f t="shared" si="4"/>
        <v>1</v>
      </c>
    </row>
    <row r="148" spans="1:7">
      <c r="A148" s="46" t="s">
        <v>419</v>
      </c>
      <c r="B148" s="47" t="s">
        <v>69</v>
      </c>
      <c r="C148" s="45" t="s">
        <v>653</v>
      </c>
      <c r="D148" s="45" t="s">
        <v>621</v>
      </c>
      <c r="E148" s="45" t="s">
        <v>17</v>
      </c>
      <c r="F148" s="48" t="s">
        <v>30</v>
      </c>
      <c r="G148" s="45">
        <f t="shared" si="4"/>
        <v>0</v>
      </c>
    </row>
    <row r="149" spans="1:7">
      <c r="A149" s="46" t="s">
        <v>422</v>
      </c>
      <c r="B149" s="47" t="s">
        <v>69</v>
      </c>
      <c r="C149" s="45" t="s">
        <v>653</v>
      </c>
      <c r="D149" s="45" t="s">
        <v>621</v>
      </c>
      <c r="E149" s="45" t="s">
        <v>17</v>
      </c>
      <c r="F149" s="48" t="s">
        <v>26</v>
      </c>
      <c r="G149" s="45">
        <f t="shared" si="4"/>
        <v>0</v>
      </c>
    </row>
    <row r="150" spans="1:7">
      <c r="A150" s="46" t="s">
        <v>425</v>
      </c>
      <c r="B150" s="47" t="s">
        <v>69</v>
      </c>
      <c r="C150" s="45" t="s">
        <v>653</v>
      </c>
      <c r="D150" s="45" t="s">
        <v>621</v>
      </c>
      <c r="E150" s="45" t="s">
        <v>17</v>
      </c>
      <c r="F150" s="48" t="s">
        <v>11</v>
      </c>
      <c r="G150" s="45">
        <f t="shared" si="4"/>
        <v>0</v>
      </c>
    </row>
    <row r="151" spans="1:7">
      <c r="A151" s="46" t="s">
        <v>428</v>
      </c>
      <c r="B151" s="47" t="s">
        <v>69</v>
      </c>
      <c r="C151" s="45" t="s">
        <v>653</v>
      </c>
      <c r="D151" s="45" t="s">
        <v>621</v>
      </c>
      <c r="E151" s="45" t="s">
        <v>30</v>
      </c>
      <c r="F151" s="48" t="s">
        <v>26</v>
      </c>
      <c r="G151" s="45">
        <f t="shared" si="4"/>
        <v>0</v>
      </c>
    </row>
    <row r="152" spans="1:7">
      <c r="A152" s="46" t="s">
        <v>431</v>
      </c>
      <c r="B152" s="47" t="s">
        <v>69</v>
      </c>
      <c r="C152" s="45" t="s">
        <v>653</v>
      </c>
      <c r="D152" s="45" t="s">
        <v>621</v>
      </c>
      <c r="E152" s="45" t="s">
        <v>17</v>
      </c>
      <c r="F152" s="48" t="s">
        <v>26</v>
      </c>
      <c r="G152" s="45">
        <f t="shared" si="4"/>
        <v>0</v>
      </c>
    </row>
    <row r="153" spans="1:7">
      <c r="A153" s="46" t="s">
        <v>434</v>
      </c>
      <c r="B153" s="47" t="s">
        <v>69</v>
      </c>
      <c r="C153" s="45" t="s">
        <v>653</v>
      </c>
      <c r="D153" s="45" t="s">
        <v>621</v>
      </c>
      <c r="E153" s="45" t="s">
        <v>30</v>
      </c>
      <c r="F153" s="48" t="s">
        <v>17</v>
      </c>
      <c r="G153" s="45">
        <f t="shared" si="4"/>
        <v>0</v>
      </c>
    </row>
    <row r="154" spans="1:7">
      <c r="A154" s="46" t="s">
        <v>437</v>
      </c>
      <c r="B154" s="47" t="s">
        <v>69</v>
      </c>
      <c r="C154" s="45" t="s">
        <v>653</v>
      </c>
      <c r="D154" s="45" t="s">
        <v>621</v>
      </c>
      <c r="E154" s="45" t="s">
        <v>30</v>
      </c>
      <c r="F154" s="48" t="s">
        <v>26</v>
      </c>
      <c r="G154" s="45">
        <f t="shared" si="4"/>
        <v>0</v>
      </c>
    </row>
    <row r="155" spans="1:7">
      <c r="A155" s="46" t="s">
        <v>440</v>
      </c>
      <c r="B155" s="47" t="s">
        <v>69</v>
      </c>
      <c r="C155" s="45" t="s">
        <v>653</v>
      </c>
      <c r="D155" s="45" t="s">
        <v>621</v>
      </c>
      <c r="E155" s="45" t="s">
        <v>30</v>
      </c>
      <c r="F155" s="48" t="s">
        <v>30</v>
      </c>
      <c r="G155" s="45">
        <f t="shared" si="4"/>
        <v>1</v>
      </c>
    </row>
    <row r="156" spans="1:7">
      <c r="A156" s="50" t="s">
        <v>443</v>
      </c>
      <c r="B156" s="51" t="s">
        <v>69</v>
      </c>
      <c r="C156" s="45" t="s">
        <v>653</v>
      </c>
      <c r="D156" s="45" t="s">
        <v>621</v>
      </c>
      <c r="E156" s="45" t="s">
        <v>11</v>
      </c>
      <c r="F156" s="52" t="s">
        <v>26</v>
      </c>
      <c r="G156" s="45">
        <f t="shared" si="4"/>
        <v>0</v>
      </c>
    </row>
    <row r="157" spans="1:7">
      <c r="A157" s="21" t="s">
        <v>446</v>
      </c>
      <c r="B157" s="21" t="s">
        <v>135</v>
      </c>
      <c r="C157" s="45" t="s">
        <v>653</v>
      </c>
      <c r="D157" s="21" t="s">
        <v>626</v>
      </c>
      <c r="E157" s="42" t="s">
        <v>628</v>
      </c>
      <c r="F157" s="42">
        <v>-2</v>
      </c>
      <c r="G157" s="43">
        <v>1</v>
      </c>
    </row>
    <row r="158" spans="1:7">
      <c r="A158" s="21" t="s">
        <v>449</v>
      </c>
      <c r="B158" s="21" t="s">
        <v>135</v>
      </c>
      <c r="C158" s="45" t="s">
        <v>653</v>
      </c>
      <c r="D158" s="21" t="s">
        <v>626</v>
      </c>
      <c r="E158" s="42" t="s">
        <v>451</v>
      </c>
      <c r="F158" s="42" t="s">
        <v>451</v>
      </c>
      <c r="G158" s="43">
        <v>1</v>
      </c>
    </row>
    <row r="159" spans="1:7">
      <c r="A159" s="21" t="s">
        <v>452</v>
      </c>
      <c r="B159" s="21" t="s">
        <v>135</v>
      </c>
      <c r="C159" s="45" t="s">
        <v>653</v>
      </c>
      <c r="D159" s="21" t="s">
        <v>626</v>
      </c>
      <c r="E159" s="44" t="s">
        <v>630</v>
      </c>
      <c r="F159" s="44" t="s">
        <v>630</v>
      </c>
      <c r="G159" s="43">
        <v>1</v>
      </c>
    </row>
    <row r="160" spans="1:7">
      <c r="A160" s="21" t="s">
        <v>455</v>
      </c>
      <c r="B160" s="21" t="s">
        <v>135</v>
      </c>
      <c r="C160" s="45" t="s">
        <v>653</v>
      </c>
      <c r="D160" s="21" t="s">
        <v>626</v>
      </c>
      <c r="E160" s="42" t="s">
        <v>457</v>
      </c>
      <c r="F160" s="42" t="s">
        <v>457</v>
      </c>
      <c r="G160" s="43">
        <v>1</v>
      </c>
    </row>
    <row r="161" spans="1:7">
      <c r="A161" s="21" t="s">
        <v>458</v>
      </c>
      <c r="B161" s="21" t="s">
        <v>135</v>
      </c>
      <c r="C161" s="45" t="s">
        <v>653</v>
      </c>
      <c r="D161" s="21" t="s">
        <v>626</v>
      </c>
      <c r="E161" s="44" t="s">
        <v>460</v>
      </c>
      <c r="F161" s="44" t="s">
        <v>460</v>
      </c>
      <c r="G161" s="43">
        <v>1</v>
      </c>
    </row>
    <row r="162" spans="1:7">
      <c r="A162" s="21" t="s">
        <v>461</v>
      </c>
      <c r="B162" s="21" t="s">
        <v>135</v>
      </c>
      <c r="C162" s="45" t="s">
        <v>653</v>
      </c>
      <c r="D162" s="21" t="s">
        <v>626</v>
      </c>
      <c r="E162" s="42" t="s">
        <v>654</v>
      </c>
      <c r="F162" s="42" t="s">
        <v>463</v>
      </c>
      <c r="G162" s="43">
        <v>0</v>
      </c>
    </row>
    <row r="163" spans="1:7">
      <c r="A163" s="21" t="s">
        <v>464</v>
      </c>
      <c r="B163" s="21" t="s">
        <v>135</v>
      </c>
      <c r="C163" s="45" t="s">
        <v>653</v>
      </c>
      <c r="D163" s="21" t="s">
        <v>626</v>
      </c>
      <c r="E163" s="42" t="s">
        <v>655</v>
      </c>
      <c r="F163" s="42" t="s">
        <v>466</v>
      </c>
      <c r="G163" s="43">
        <v>0</v>
      </c>
    </row>
    <row r="164" spans="1:7">
      <c r="A164" s="21" t="s">
        <v>467</v>
      </c>
      <c r="B164" s="21" t="s">
        <v>135</v>
      </c>
      <c r="C164" s="45" t="s">
        <v>653</v>
      </c>
      <c r="D164" s="21" t="s">
        <v>626</v>
      </c>
      <c r="E164" s="42" t="s">
        <v>656</v>
      </c>
      <c r="F164" s="42" t="s">
        <v>469</v>
      </c>
      <c r="G164" s="43">
        <v>0</v>
      </c>
    </row>
    <row r="165" spans="1:7">
      <c r="A165" s="21" t="s">
        <v>470</v>
      </c>
      <c r="B165" s="21" t="s">
        <v>135</v>
      </c>
      <c r="C165" s="45" t="s">
        <v>653</v>
      </c>
      <c r="D165" s="21" t="s">
        <v>626</v>
      </c>
      <c r="E165" s="42" t="s">
        <v>472</v>
      </c>
      <c r="F165" s="42" t="s">
        <v>472</v>
      </c>
      <c r="G165" s="43">
        <v>1</v>
      </c>
    </row>
    <row r="166" ht="46.8" spans="1:7">
      <c r="A166" s="21" t="s">
        <v>473</v>
      </c>
      <c r="B166" s="21" t="s">
        <v>135</v>
      </c>
      <c r="C166" s="45" t="s">
        <v>653</v>
      </c>
      <c r="D166" s="21" t="s">
        <v>626</v>
      </c>
      <c r="E166" s="42" t="s">
        <v>657</v>
      </c>
      <c r="F166" s="42" t="s">
        <v>475</v>
      </c>
      <c r="G166" s="43">
        <v>0</v>
      </c>
    </row>
    <row r="167" spans="1:7">
      <c r="A167" s="21" t="s">
        <v>476</v>
      </c>
      <c r="B167" s="21" t="s">
        <v>135</v>
      </c>
      <c r="C167" s="45" t="s">
        <v>653</v>
      </c>
      <c r="D167" s="21" t="s">
        <v>626</v>
      </c>
      <c r="E167" s="42" t="s">
        <v>628</v>
      </c>
      <c r="F167" s="42">
        <v>-2</v>
      </c>
      <c r="G167" s="43">
        <v>1</v>
      </c>
    </row>
    <row r="168" spans="1:7">
      <c r="A168" s="21" t="s">
        <v>478</v>
      </c>
      <c r="B168" s="21" t="s">
        <v>135</v>
      </c>
      <c r="C168" s="45" t="s">
        <v>653</v>
      </c>
      <c r="D168" s="21" t="s">
        <v>626</v>
      </c>
      <c r="E168" s="53" t="s">
        <v>658</v>
      </c>
      <c r="F168" s="42" t="s">
        <v>480</v>
      </c>
      <c r="G168" s="43">
        <v>0</v>
      </c>
    </row>
    <row r="169" ht="62.4" spans="1:7">
      <c r="A169" s="21" t="s">
        <v>481</v>
      </c>
      <c r="B169" s="21" t="s">
        <v>135</v>
      </c>
      <c r="C169" s="45" t="s">
        <v>653</v>
      </c>
      <c r="D169" s="21" t="s">
        <v>626</v>
      </c>
      <c r="E169" s="42" t="s">
        <v>659</v>
      </c>
      <c r="F169" s="42" t="s">
        <v>483</v>
      </c>
      <c r="G169" s="43">
        <v>0</v>
      </c>
    </row>
    <row r="170" spans="1:7">
      <c r="A170" s="21" t="s">
        <v>484</v>
      </c>
      <c r="B170" s="21" t="s">
        <v>135</v>
      </c>
      <c r="C170" s="45" t="s">
        <v>653</v>
      </c>
      <c r="D170" s="21" t="s">
        <v>626</v>
      </c>
      <c r="E170" s="42" t="s">
        <v>660</v>
      </c>
      <c r="F170" s="42">
        <v>504</v>
      </c>
      <c r="G170" s="43">
        <v>0</v>
      </c>
    </row>
    <row r="171" spans="1:7">
      <c r="A171" s="21" t="s">
        <v>486</v>
      </c>
      <c r="B171" s="21" t="s">
        <v>135</v>
      </c>
      <c r="C171" s="45" t="s">
        <v>653</v>
      </c>
      <c r="D171" s="21" t="s">
        <v>626</v>
      </c>
      <c r="E171" s="42" t="s">
        <v>661</v>
      </c>
      <c r="F171" s="42" t="s">
        <v>488</v>
      </c>
      <c r="G171" s="45">
        <v>0</v>
      </c>
    </row>
    <row r="172" spans="1:7">
      <c r="A172" s="21" t="s">
        <v>489</v>
      </c>
      <c r="B172" s="21" t="s">
        <v>135</v>
      </c>
      <c r="C172" s="45" t="s">
        <v>653</v>
      </c>
      <c r="D172" s="21" t="s">
        <v>626</v>
      </c>
      <c r="E172" s="42" t="s">
        <v>661</v>
      </c>
      <c r="F172" s="42" t="s">
        <v>491</v>
      </c>
      <c r="G172" s="43">
        <v>0</v>
      </c>
    </row>
    <row r="173" spans="1:7">
      <c r="A173" s="21" t="s">
        <v>492</v>
      </c>
      <c r="B173" s="21" t="s">
        <v>135</v>
      </c>
      <c r="C173" s="45" t="s">
        <v>653</v>
      </c>
      <c r="D173" s="21" t="s">
        <v>626</v>
      </c>
      <c r="E173" s="42" t="s">
        <v>662</v>
      </c>
      <c r="F173" s="42">
        <v>6298.56</v>
      </c>
      <c r="G173" s="43">
        <v>1</v>
      </c>
    </row>
    <row r="174" spans="1:7">
      <c r="A174" s="21" t="s">
        <v>494</v>
      </c>
      <c r="B174" s="21" t="s">
        <v>135</v>
      </c>
      <c r="C174" s="45" t="s">
        <v>653</v>
      </c>
      <c r="D174" s="21" t="s">
        <v>626</v>
      </c>
      <c r="E174" s="42" t="s">
        <v>663</v>
      </c>
      <c r="F174" s="42" t="s">
        <v>496</v>
      </c>
      <c r="G174" s="43">
        <v>0</v>
      </c>
    </row>
    <row r="175" spans="1:7">
      <c r="A175" s="21" t="s">
        <v>497</v>
      </c>
      <c r="B175" s="21" t="s">
        <v>135</v>
      </c>
      <c r="C175" s="45" t="s">
        <v>653</v>
      </c>
      <c r="D175" s="21" t="s">
        <v>626</v>
      </c>
      <c r="E175" s="53" t="s">
        <v>664</v>
      </c>
      <c r="F175" s="42" t="s">
        <v>633</v>
      </c>
      <c r="G175" s="43">
        <v>0</v>
      </c>
    </row>
    <row r="176" spans="1:7">
      <c r="A176" s="21" t="s">
        <v>500</v>
      </c>
      <c r="B176" s="21" t="s">
        <v>135</v>
      </c>
      <c r="C176" s="45" t="s">
        <v>653</v>
      </c>
      <c r="D176" s="21" t="s">
        <v>626</v>
      </c>
      <c r="E176" s="42" t="s">
        <v>665</v>
      </c>
      <c r="F176" s="42">
        <v>4</v>
      </c>
      <c r="G176" s="43">
        <v>1</v>
      </c>
    </row>
    <row r="177" spans="1:7">
      <c r="A177" s="21" t="s">
        <v>502</v>
      </c>
      <c r="B177" s="21" t="s">
        <v>135</v>
      </c>
      <c r="C177" s="45" t="s">
        <v>653</v>
      </c>
      <c r="D177" s="21" t="s">
        <v>626</v>
      </c>
      <c r="E177" s="42" t="s">
        <v>635</v>
      </c>
      <c r="F177" s="42" t="s">
        <v>635</v>
      </c>
      <c r="G177" s="43">
        <v>1</v>
      </c>
    </row>
    <row r="178" ht="31.2" spans="1:7">
      <c r="A178" s="21" t="s">
        <v>505</v>
      </c>
      <c r="B178" s="21" t="s">
        <v>135</v>
      </c>
      <c r="C178" s="45" t="s">
        <v>653</v>
      </c>
      <c r="D178" s="21" t="s">
        <v>626</v>
      </c>
      <c r="E178" s="42" t="s">
        <v>666</v>
      </c>
      <c r="F178" s="42" t="s">
        <v>507</v>
      </c>
      <c r="G178" s="43">
        <v>0</v>
      </c>
    </row>
    <row r="179" spans="1:7">
      <c r="A179" s="21" t="s">
        <v>508</v>
      </c>
      <c r="B179" s="21" t="s">
        <v>135</v>
      </c>
      <c r="C179" s="45" t="s">
        <v>653</v>
      </c>
      <c r="D179" s="21" t="s">
        <v>626</v>
      </c>
      <c r="E179" s="42" t="s">
        <v>667</v>
      </c>
      <c r="F179" s="42" t="s">
        <v>510</v>
      </c>
      <c r="G179" s="43">
        <v>0</v>
      </c>
    </row>
    <row r="180" spans="1:7">
      <c r="A180" s="21" t="s">
        <v>511</v>
      </c>
      <c r="B180" s="21" t="s">
        <v>135</v>
      </c>
      <c r="C180" s="45" t="s">
        <v>653</v>
      </c>
      <c r="D180" s="21" t="s">
        <v>626</v>
      </c>
      <c r="E180" s="44" t="s">
        <v>513</v>
      </c>
      <c r="F180" s="44" t="s">
        <v>513</v>
      </c>
      <c r="G180" s="43">
        <v>1</v>
      </c>
    </row>
    <row r="181" spans="1:7">
      <c r="A181" s="21" t="s">
        <v>514</v>
      </c>
      <c r="B181" s="21" t="s">
        <v>135</v>
      </c>
      <c r="C181" s="45" t="s">
        <v>653</v>
      </c>
      <c r="D181" s="21" t="s">
        <v>626</v>
      </c>
      <c r="E181" s="44" t="s">
        <v>516</v>
      </c>
      <c r="F181" s="44" t="s">
        <v>516</v>
      </c>
      <c r="G181" s="43">
        <v>1</v>
      </c>
    </row>
    <row r="182" spans="1:7">
      <c r="A182" s="21" t="s">
        <v>517</v>
      </c>
      <c r="B182" s="21" t="s">
        <v>135</v>
      </c>
      <c r="C182" s="45" t="s">
        <v>653</v>
      </c>
      <c r="D182" s="21" t="s">
        <v>626</v>
      </c>
      <c r="E182" s="42" t="s">
        <v>519</v>
      </c>
      <c r="F182" s="42" t="s">
        <v>519</v>
      </c>
      <c r="G182" s="43">
        <v>1</v>
      </c>
    </row>
    <row r="183" spans="1:7">
      <c r="A183" s="21" t="s">
        <v>520</v>
      </c>
      <c r="B183" s="21" t="s">
        <v>135</v>
      </c>
      <c r="C183" s="45" t="s">
        <v>653</v>
      </c>
      <c r="D183" s="21" t="s">
        <v>626</v>
      </c>
      <c r="E183" s="44" t="s">
        <v>522</v>
      </c>
      <c r="F183" s="44" t="s">
        <v>522</v>
      </c>
      <c r="G183" s="43">
        <v>1</v>
      </c>
    </row>
    <row r="184" spans="1:7">
      <c r="A184" s="21" t="s">
        <v>523</v>
      </c>
      <c r="B184" s="21" t="s">
        <v>135</v>
      </c>
      <c r="C184" s="45" t="s">
        <v>653</v>
      </c>
      <c r="D184" s="21" t="s">
        <v>626</v>
      </c>
      <c r="E184" s="42" t="s">
        <v>639</v>
      </c>
      <c r="F184" s="42">
        <v>22</v>
      </c>
      <c r="G184" s="43">
        <v>1</v>
      </c>
    </row>
    <row r="185" spans="1:7">
      <c r="A185" s="21" t="s">
        <v>525</v>
      </c>
      <c r="B185" s="21" t="s">
        <v>135</v>
      </c>
      <c r="C185" s="45" t="s">
        <v>653</v>
      </c>
      <c r="D185" s="21" t="s">
        <v>626</v>
      </c>
      <c r="E185" s="42" t="s">
        <v>668</v>
      </c>
      <c r="F185" s="42" t="s">
        <v>527</v>
      </c>
      <c r="G185" s="43">
        <v>0</v>
      </c>
    </row>
    <row r="186" spans="1:7">
      <c r="A186" s="21" t="s">
        <v>528</v>
      </c>
      <c r="B186" s="21" t="s">
        <v>135</v>
      </c>
      <c r="C186" s="45" t="s">
        <v>653</v>
      </c>
      <c r="D186" s="21" t="s">
        <v>626</v>
      </c>
      <c r="E186" s="42" t="s">
        <v>530</v>
      </c>
      <c r="F186" s="42" t="s">
        <v>530</v>
      </c>
      <c r="G186" s="43">
        <v>1</v>
      </c>
    </row>
    <row r="187" spans="1:7">
      <c r="A187" s="21" t="s">
        <v>531</v>
      </c>
      <c r="B187" s="21" t="s">
        <v>135</v>
      </c>
      <c r="C187" s="45" t="s">
        <v>653</v>
      </c>
      <c r="D187" s="21" t="s">
        <v>626</v>
      </c>
      <c r="E187" s="44" t="s">
        <v>669</v>
      </c>
      <c r="F187" s="44" t="s">
        <v>669</v>
      </c>
      <c r="G187" s="43">
        <v>1</v>
      </c>
    </row>
    <row r="188" spans="1:7">
      <c r="A188" s="21" t="s">
        <v>534</v>
      </c>
      <c r="B188" s="21" t="s">
        <v>135</v>
      </c>
      <c r="C188" s="45" t="s">
        <v>653</v>
      </c>
      <c r="D188" s="21" t="s">
        <v>626</v>
      </c>
      <c r="E188" s="44" t="s">
        <v>670</v>
      </c>
      <c r="F188" s="44" t="s">
        <v>640</v>
      </c>
      <c r="G188" s="43">
        <v>0</v>
      </c>
    </row>
    <row r="189" spans="1:7">
      <c r="A189" s="21" t="s">
        <v>537</v>
      </c>
      <c r="B189" s="21" t="s">
        <v>135</v>
      </c>
      <c r="C189" s="45" t="s">
        <v>653</v>
      </c>
      <c r="D189" s="21" t="s">
        <v>626</v>
      </c>
      <c r="E189" s="42" t="s">
        <v>671</v>
      </c>
      <c r="F189" s="44" t="s">
        <v>539</v>
      </c>
      <c r="G189" s="43">
        <v>0</v>
      </c>
    </row>
    <row r="190" spans="1:7">
      <c r="A190" s="21" t="s">
        <v>540</v>
      </c>
      <c r="B190" s="21" t="s">
        <v>135</v>
      </c>
      <c r="C190" s="45" t="s">
        <v>653</v>
      </c>
      <c r="D190" s="21" t="s">
        <v>626</v>
      </c>
      <c r="E190" s="42" t="s">
        <v>672</v>
      </c>
      <c r="F190" s="42" t="s">
        <v>542</v>
      </c>
      <c r="G190" s="43">
        <v>0</v>
      </c>
    </row>
    <row r="191" spans="1:7">
      <c r="A191" s="21" t="s">
        <v>543</v>
      </c>
      <c r="B191" s="21" t="s">
        <v>135</v>
      </c>
      <c r="C191" s="45" t="s">
        <v>653</v>
      </c>
      <c r="D191" s="21" t="s">
        <v>626</v>
      </c>
      <c r="E191" s="44" t="s">
        <v>673</v>
      </c>
      <c r="F191" s="44" t="s">
        <v>545</v>
      </c>
      <c r="G191" s="43">
        <v>0</v>
      </c>
    </row>
    <row r="192" spans="1:7">
      <c r="A192" s="21" t="s">
        <v>546</v>
      </c>
      <c r="B192" s="21" t="s">
        <v>135</v>
      </c>
      <c r="C192" s="45" t="s">
        <v>653</v>
      </c>
      <c r="D192" s="21" t="s">
        <v>626</v>
      </c>
      <c r="E192" s="42" t="s">
        <v>674</v>
      </c>
      <c r="F192" s="42" t="s">
        <v>548</v>
      </c>
      <c r="G192" s="43">
        <v>1</v>
      </c>
    </row>
    <row r="193" spans="1:7">
      <c r="A193" s="21" t="s">
        <v>549</v>
      </c>
      <c r="B193" s="21" t="s">
        <v>135</v>
      </c>
      <c r="C193" s="45" t="s">
        <v>653</v>
      </c>
      <c r="D193" s="21" t="s">
        <v>626</v>
      </c>
      <c r="E193" s="44" t="s">
        <v>551</v>
      </c>
      <c r="F193" s="44" t="s">
        <v>551</v>
      </c>
      <c r="G193" s="43">
        <v>1</v>
      </c>
    </row>
    <row r="194" spans="1:7">
      <c r="A194" s="21" t="s">
        <v>552</v>
      </c>
      <c r="B194" s="21" t="s">
        <v>135</v>
      </c>
      <c r="C194" s="45" t="s">
        <v>653</v>
      </c>
      <c r="D194" s="21" t="s">
        <v>626</v>
      </c>
      <c r="E194" s="42" t="s">
        <v>554</v>
      </c>
      <c r="F194" s="42" t="s">
        <v>554</v>
      </c>
      <c r="G194" s="43">
        <v>1</v>
      </c>
    </row>
    <row r="195" spans="1:7">
      <c r="A195" s="21" t="s">
        <v>555</v>
      </c>
      <c r="B195" s="21" t="s">
        <v>135</v>
      </c>
      <c r="C195" s="45" t="s">
        <v>653</v>
      </c>
      <c r="D195" s="21" t="s">
        <v>626</v>
      </c>
      <c r="E195" s="42" t="s">
        <v>645</v>
      </c>
      <c r="F195" s="42">
        <v>8</v>
      </c>
      <c r="G195" s="43">
        <v>0</v>
      </c>
    </row>
    <row r="196" spans="1:7">
      <c r="A196" s="21" t="s">
        <v>557</v>
      </c>
      <c r="B196" s="21" t="s">
        <v>135</v>
      </c>
      <c r="C196" s="45" t="s">
        <v>653</v>
      </c>
      <c r="D196" s="21" t="s">
        <v>626</v>
      </c>
      <c r="E196" s="44" t="s">
        <v>675</v>
      </c>
      <c r="F196" s="44" t="s">
        <v>559</v>
      </c>
      <c r="G196" s="43">
        <v>0</v>
      </c>
    </row>
    <row r="197" spans="1:7">
      <c r="A197" s="21" t="s">
        <v>560</v>
      </c>
      <c r="B197" s="21" t="s">
        <v>135</v>
      </c>
      <c r="C197" s="45" t="s">
        <v>653</v>
      </c>
      <c r="D197" s="21" t="s">
        <v>626</v>
      </c>
      <c r="E197" s="42" t="s">
        <v>676</v>
      </c>
      <c r="F197" s="42" t="s">
        <v>562</v>
      </c>
      <c r="G197" s="43">
        <v>0</v>
      </c>
    </row>
    <row r="198" spans="1:7">
      <c r="A198" s="21" t="s">
        <v>563</v>
      </c>
      <c r="B198" s="21" t="s">
        <v>135</v>
      </c>
      <c r="C198" s="45" t="s">
        <v>653</v>
      </c>
      <c r="D198" s="21" t="s">
        <v>626</v>
      </c>
      <c r="E198" s="42" t="s">
        <v>565</v>
      </c>
      <c r="F198" s="42" t="s">
        <v>565</v>
      </c>
      <c r="G198" s="43">
        <v>1</v>
      </c>
    </row>
    <row r="199" spans="1:7">
      <c r="A199" s="21" t="s">
        <v>566</v>
      </c>
      <c r="B199" s="21" t="s">
        <v>135</v>
      </c>
      <c r="C199" s="45" t="s">
        <v>653</v>
      </c>
      <c r="D199" s="21" t="s">
        <v>626</v>
      </c>
      <c r="E199" s="42" t="s">
        <v>677</v>
      </c>
      <c r="F199" s="42">
        <v>6</v>
      </c>
      <c r="G199" s="43">
        <v>0</v>
      </c>
    </row>
    <row r="200" spans="1:7">
      <c r="A200" s="21" t="s">
        <v>568</v>
      </c>
      <c r="B200" s="21" t="s">
        <v>135</v>
      </c>
      <c r="C200" s="45" t="s">
        <v>653</v>
      </c>
      <c r="D200" s="21" t="s">
        <v>626</v>
      </c>
      <c r="E200" s="44" t="s">
        <v>675</v>
      </c>
      <c r="F200" s="44" t="s">
        <v>570</v>
      </c>
      <c r="G200" s="43">
        <v>0</v>
      </c>
    </row>
    <row r="201" spans="1:7">
      <c r="A201" s="21" t="s">
        <v>571</v>
      </c>
      <c r="B201" s="21" t="s">
        <v>135</v>
      </c>
      <c r="C201" s="45" t="s">
        <v>653</v>
      </c>
      <c r="D201" s="21" t="s">
        <v>626</v>
      </c>
      <c r="E201" s="42" t="s">
        <v>573</v>
      </c>
      <c r="F201" s="42" t="s">
        <v>573</v>
      </c>
      <c r="G201" s="43">
        <v>1</v>
      </c>
    </row>
    <row r="202" spans="1:7">
      <c r="A202" s="21" t="s">
        <v>574</v>
      </c>
      <c r="B202" s="21" t="s">
        <v>135</v>
      </c>
      <c r="C202" s="45" t="s">
        <v>653</v>
      </c>
      <c r="D202" s="21" t="s">
        <v>626</v>
      </c>
      <c r="E202" s="42" t="s">
        <v>576</v>
      </c>
      <c r="F202" s="42" t="s">
        <v>576</v>
      </c>
      <c r="G202" s="43">
        <v>1</v>
      </c>
    </row>
    <row r="203" spans="1:7">
      <c r="A203" s="21" t="s">
        <v>577</v>
      </c>
      <c r="B203" s="21" t="s">
        <v>135</v>
      </c>
      <c r="C203" s="45" t="s">
        <v>653</v>
      </c>
      <c r="D203" s="21" t="s">
        <v>626</v>
      </c>
      <c r="E203" s="44" t="s">
        <v>646</v>
      </c>
      <c r="F203" s="42" t="s">
        <v>579</v>
      </c>
      <c r="G203" s="43">
        <v>1</v>
      </c>
    </row>
    <row r="204" spans="1:7">
      <c r="A204" s="21" t="s">
        <v>580</v>
      </c>
      <c r="B204" s="21" t="s">
        <v>135</v>
      </c>
      <c r="C204" s="45" t="s">
        <v>653</v>
      </c>
      <c r="D204" s="21" t="s">
        <v>626</v>
      </c>
      <c r="E204" s="42" t="s">
        <v>582</v>
      </c>
      <c r="F204" s="42" t="s">
        <v>582</v>
      </c>
      <c r="G204" s="43">
        <v>1</v>
      </c>
    </row>
    <row r="205" spans="1:7">
      <c r="A205" s="21" t="s">
        <v>583</v>
      </c>
      <c r="B205" s="21" t="s">
        <v>135</v>
      </c>
      <c r="C205" s="45" t="s">
        <v>653</v>
      </c>
      <c r="D205" s="21" t="s">
        <v>626</v>
      </c>
      <c r="E205" s="42" t="s">
        <v>585</v>
      </c>
      <c r="F205" s="42" t="s">
        <v>585</v>
      </c>
      <c r="G205" s="43">
        <v>1</v>
      </c>
    </row>
    <row r="206" ht="62.4" spans="1:7">
      <c r="A206" s="21" t="s">
        <v>586</v>
      </c>
      <c r="B206" s="21" t="s">
        <v>135</v>
      </c>
      <c r="C206" s="45" t="s">
        <v>653</v>
      </c>
      <c r="D206" s="21" t="s">
        <v>626</v>
      </c>
      <c r="E206" s="25" t="s">
        <v>678</v>
      </c>
      <c r="F206" s="42" t="s">
        <v>649</v>
      </c>
      <c r="G206" s="43">
        <v>1</v>
      </c>
    </row>
    <row r="207" spans="1:7">
      <c r="A207" s="21" t="s">
        <v>589</v>
      </c>
      <c r="B207" s="21" t="s">
        <v>135</v>
      </c>
      <c r="C207" s="45" t="s">
        <v>653</v>
      </c>
      <c r="D207" s="21" t="s">
        <v>626</v>
      </c>
      <c r="E207" s="42" t="s">
        <v>679</v>
      </c>
      <c r="F207" s="42" t="s">
        <v>591</v>
      </c>
      <c r="G207" s="43">
        <v>0</v>
      </c>
    </row>
    <row r="208" spans="1:7">
      <c r="A208" s="21" t="s">
        <v>592</v>
      </c>
      <c r="B208" s="21" t="s">
        <v>135</v>
      </c>
      <c r="C208" s="45" t="s">
        <v>653</v>
      </c>
      <c r="D208" s="21" t="s">
        <v>626</v>
      </c>
      <c r="E208" s="42" t="s">
        <v>665</v>
      </c>
      <c r="F208" s="42" t="s">
        <v>582</v>
      </c>
      <c r="G208" s="43">
        <v>0</v>
      </c>
    </row>
    <row r="209" spans="1:8">
      <c r="A209" s="21" t="s">
        <v>594</v>
      </c>
      <c r="B209" s="21" t="s">
        <v>135</v>
      </c>
      <c r="C209" s="45" t="s">
        <v>653</v>
      </c>
      <c r="D209" s="21" t="s">
        <v>626</v>
      </c>
      <c r="E209" s="44" t="s">
        <v>650</v>
      </c>
      <c r="F209" s="21" t="s">
        <v>596</v>
      </c>
      <c r="G209" s="43">
        <v>0</v>
      </c>
    </row>
    <row r="210" spans="1:8">
      <c r="A210" s="21" t="s">
        <v>597</v>
      </c>
      <c r="B210" s="21" t="s">
        <v>135</v>
      </c>
      <c r="C210" s="45" t="s">
        <v>653</v>
      </c>
      <c r="D210" s="21" t="s">
        <v>626</v>
      </c>
      <c r="E210" s="42" t="s">
        <v>530</v>
      </c>
      <c r="F210" s="42" t="s">
        <v>530</v>
      </c>
      <c r="G210" s="43">
        <v>1</v>
      </c>
    </row>
    <row r="211" spans="1:8">
      <c r="A211" s="21" t="s">
        <v>599</v>
      </c>
      <c r="B211" s="21" t="s">
        <v>135</v>
      </c>
      <c r="C211" s="45" t="s">
        <v>653</v>
      </c>
      <c r="D211" s="21" t="s">
        <v>626</v>
      </c>
      <c r="E211" s="42" t="s">
        <v>680</v>
      </c>
      <c r="F211" s="42" t="s">
        <v>601</v>
      </c>
      <c r="G211" s="43"/>
    </row>
    <row r="212" spans="1:8">
      <c r="A212" s="21" t="s">
        <v>602</v>
      </c>
      <c r="B212" s="21" t="s">
        <v>135</v>
      </c>
      <c r="C212" s="45" t="s">
        <v>653</v>
      </c>
      <c r="D212" s="21" t="s">
        <v>626</v>
      </c>
      <c r="E212" s="42" t="s">
        <v>582</v>
      </c>
      <c r="F212" s="42" t="s">
        <v>582</v>
      </c>
      <c r="G212" s="43">
        <v>1</v>
      </c>
    </row>
    <row r="213" ht="31.2" spans="1:8">
      <c r="A213" s="21" t="s">
        <v>604</v>
      </c>
      <c r="B213" s="21" t="s">
        <v>135</v>
      </c>
      <c r="C213" s="45" t="s">
        <v>653</v>
      </c>
      <c r="D213" s="21" t="s">
        <v>626</v>
      </c>
      <c r="E213" s="42" t="s">
        <v>652</v>
      </c>
      <c r="F213" s="42" t="s">
        <v>652</v>
      </c>
      <c r="G213" s="43">
        <v>1</v>
      </c>
      <c r="H213" s="43"/>
    </row>
    <row r="214" spans="1:8">
      <c r="A214" s="21" t="s">
        <v>607</v>
      </c>
      <c r="B214" s="21" t="s">
        <v>135</v>
      </c>
      <c r="C214" s="45" t="s">
        <v>653</v>
      </c>
      <c r="D214" s="21" t="s">
        <v>626</v>
      </c>
      <c r="E214" s="42" t="s">
        <v>681</v>
      </c>
      <c r="F214" s="42" t="s">
        <v>609</v>
      </c>
      <c r="G214" s="43">
        <v>0</v>
      </c>
    </row>
    <row r="215" spans="1:8">
      <c r="A215" s="21" t="s">
        <v>610</v>
      </c>
      <c r="B215" s="21" t="s">
        <v>135</v>
      </c>
      <c r="C215" s="45" t="s">
        <v>653</v>
      </c>
      <c r="D215" s="21" t="s">
        <v>626</v>
      </c>
      <c r="E215" s="42" t="s">
        <v>582</v>
      </c>
      <c r="F215" s="42" t="s">
        <v>612</v>
      </c>
      <c r="G215" s="45">
        <v>0</v>
      </c>
    </row>
    <row r="216" spans="1:8">
      <c r="A216" s="21" t="s">
        <v>613</v>
      </c>
      <c r="B216" s="21" t="s">
        <v>135</v>
      </c>
      <c r="C216" s="45" t="s">
        <v>653</v>
      </c>
      <c r="D216" s="21" t="s">
        <v>626</v>
      </c>
      <c r="E216" s="42" t="s">
        <v>682</v>
      </c>
      <c r="F216" s="42" t="s">
        <v>615</v>
      </c>
      <c r="G216" s="43">
        <v>0</v>
      </c>
    </row>
  </sheetData>
  <mergeCells count="1">
    <mergeCell ref="J10:J11"/>
  </mergeCells>
  <pageMargins left="0.7" right="0.7" top="0.75" bottom="0.75" header="0.3" footer="0.3"/>
  <pageSetup paperSize="1" orientation="portrait"/>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16"/>
  <sheetViews>
    <sheetView zoomScale="59" zoomScaleNormal="59" workbookViewId="0">
      <selection activeCell="A1" sqref="A$1:G$1048576"/>
    </sheetView>
  </sheetViews>
  <sheetFormatPr defaultColWidth="8.88888888888889" defaultRowHeight="14.4"/>
  <cols>
    <col min="1" max="1" width="17.5555555555556" customWidth="1"/>
    <col min="2" max="2" width="12.4444444444444" customWidth="1"/>
    <col min="3" max="3" width="9.66666666666667" customWidth="1"/>
    <col min="4" max="4" width="15.2222222222222" customWidth="1"/>
    <col min="5" max="5" width="27.7777777777778" customWidth="1"/>
    <col min="6" max="6" width="21.1111111111111" customWidth="1"/>
    <col min="7" max="7" width="10.7777777777778" customWidth="1"/>
    <col min="10" max="10" width="15.2222222222222" customWidth="1"/>
    <col min="11" max="12" width="18.5555555555556" customWidth="1"/>
    <col min="13" max="14" width="21.2222222222222" customWidth="1"/>
    <col min="15" max="15" width="16.8888888888889" customWidth="1"/>
  </cols>
  <sheetData>
    <row r="1" ht="15.6" spans="1:15">
      <c r="A1" s="45" t="s">
        <v>0</v>
      </c>
      <c r="B1" s="45" t="s">
        <v>1</v>
      </c>
      <c r="C1" s="45" t="s">
        <v>616</v>
      </c>
      <c r="D1" s="45" t="s">
        <v>617</v>
      </c>
      <c r="E1" s="45" t="s">
        <v>618</v>
      </c>
      <c r="F1" s="45" t="s">
        <v>6</v>
      </c>
      <c r="G1" s="45" t="s">
        <v>619</v>
      </c>
    </row>
    <row r="2" ht="15.6" spans="1:15">
      <c r="A2" s="46" t="s">
        <v>7</v>
      </c>
      <c r="B2" s="47" t="s">
        <v>8</v>
      </c>
      <c r="C2" s="45" t="s">
        <v>683</v>
      </c>
      <c r="D2" s="45" t="s">
        <v>621</v>
      </c>
      <c r="E2" s="45" t="s">
        <v>11</v>
      </c>
      <c r="F2" s="48" t="s">
        <v>11</v>
      </c>
      <c r="G2" s="45">
        <f>IF(E2=F2,1,0)</f>
        <v>1</v>
      </c>
    </row>
    <row r="3" ht="15.6" spans="1:15">
      <c r="A3" s="46" t="s">
        <v>12</v>
      </c>
      <c r="B3" s="47" t="s">
        <v>8</v>
      </c>
      <c r="C3" s="45" t="s">
        <v>683</v>
      </c>
      <c r="D3" s="45" t="s">
        <v>621</v>
      </c>
      <c r="E3" s="45" t="s">
        <v>11</v>
      </c>
      <c r="F3" s="48" t="s">
        <v>11</v>
      </c>
      <c r="G3" s="45">
        <f t="shared" ref="G3:G65" si="0">IF(E3=F3,1,0)</f>
        <v>1</v>
      </c>
    </row>
    <row r="4" ht="15.6" spans="1:15">
      <c r="A4" s="46" t="s">
        <v>14</v>
      </c>
      <c r="B4" s="47" t="s">
        <v>8</v>
      </c>
      <c r="C4" s="45" t="s">
        <v>683</v>
      </c>
      <c r="D4" s="45" t="s">
        <v>621</v>
      </c>
      <c r="E4" s="45" t="s">
        <v>17</v>
      </c>
      <c r="F4" s="47" t="s">
        <v>17</v>
      </c>
      <c r="G4" s="45">
        <f t="shared" si="0"/>
        <v>1</v>
      </c>
      <c r="J4" s="31" t="s">
        <v>617</v>
      </c>
      <c r="K4" s="31" t="s">
        <v>622</v>
      </c>
      <c r="L4" s="31" t="s">
        <v>623</v>
      </c>
      <c r="M4" s="31" t="s">
        <v>624</v>
      </c>
      <c r="N4" s="31" t="s">
        <v>625</v>
      </c>
      <c r="O4" s="49"/>
    </row>
    <row r="5" ht="15.6" spans="1:15">
      <c r="A5" s="46" t="s">
        <v>18</v>
      </c>
      <c r="B5" s="47" t="s">
        <v>8</v>
      </c>
      <c r="C5" s="45" t="s">
        <v>683</v>
      </c>
      <c r="D5" s="45" t="s">
        <v>621</v>
      </c>
      <c r="E5" s="45" t="s">
        <v>11</v>
      </c>
      <c r="F5" s="47" t="s">
        <v>11</v>
      </c>
      <c r="G5" s="45">
        <f t="shared" si="0"/>
        <v>1</v>
      </c>
      <c r="J5" s="33" t="s">
        <v>621</v>
      </c>
      <c r="K5" s="34">
        <f>COUNTA(E2:E156)</f>
        <v>155</v>
      </c>
      <c r="L5" s="34">
        <f>SUM(G2:G156)</f>
        <v>108</v>
      </c>
      <c r="M5" s="34">
        <f>K5-L5</f>
        <v>47</v>
      </c>
      <c r="N5" s="35">
        <f>L5/K5</f>
        <v>0.696774193548387</v>
      </c>
      <c r="O5" s="49"/>
    </row>
    <row r="6" ht="15.6" spans="1:15">
      <c r="A6" s="46" t="s">
        <v>21</v>
      </c>
      <c r="B6" s="47" t="s">
        <v>8</v>
      </c>
      <c r="C6" s="45" t="s">
        <v>683</v>
      </c>
      <c r="D6" s="45" t="s">
        <v>621</v>
      </c>
      <c r="E6" s="45" t="s">
        <v>11</v>
      </c>
      <c r="F6" s="47" t="s">
        <v>11</v>
      </c>
      <c r="G6" s="45">
        <f t="shared" si="0"/>
        <v>1</v>
      </c>
      <c r="J6" s="36" t="s">
        <v>626</v>
      </c>
      <c r="K6" s="34">
        <f>COUNTA(E157:E216)</f>
        <v>60</v>
      </c>
      <c r="L6" s="34">
        <f>SUM(G157:G216)</f>
        <v>52</v>
      </c>
      <c r="M6" s="34">
        <f>K6-L6</f>
        <v>8</v>
      </c>
      <c r="N6" s="35">
        <f>L6/K6</f>
        <v>0.866666666666667</v>
      </c>
      <c r="O6" s="49"/>
    </row>
    <row r="7" ht="15.6" spans="1:15">
      <c r="A7" s="46" t="s">
        <v>23</v>
      </c>
      <c r="B7" s="47" t="s">
        <v>8</v>
      </c>
      <c r="C7" s="45" t="s">
        <v>683</v>
      </c>
      <c r="D7" s="45" t="s">
        <v>621</v>
      </c>
      <c r="E7" s="45" t="s">
        <v>26</v>
      </c>
      <c r="F7" s="47" t="s">
        <v>26</v>
      </c>
      <c r="G7" s="45">
        <f t="shared" si="0"/>
        <v>1</v>
      </c>
      <c r="J7" s="49"/>
      <c r="K7" s="49"/>
      <c r="L7" s="49"/>
      <c r="M7" s="49"/>
      <c r="N7" s="49"/>
      <c r="O7" s="49"/>
    </row>
    <row r="8" ht="15.6" spans="1:15">
      <c r="A8" s="46" t="s">
        <v>27</v>
      </c>
      <c r="B8" s="47" t="s">
        <v>8</v>
      </c>
      <c r="C8" s="45" t="s">
        <v>683</v>
      </c>
      <c r="D8" s="45" t="s">
        <v>621</v>
      </c>
      <c r="E8" s="45" t="s">
        <v>26</v>
      </c>
      <c r="F8" s="48" t="s">
        <v>30</v>
      </c>
      <c r="G8" s="45">
        <f t="shared" si="0"/>
        <v>0</v>
      </c>
      <c r="J8" s="31" t="s">
        <v>627</v>
      </c>
      <c r="K8" s="31" t="s">
        <v>617</v>
      </c>
      <c r="L8" s="31" t="s">
        <v>622</v>
      </c>
      <c r="M8" s="31" t="s">
        <v>623</v>
      </c>
      <c r="N8" s="31" t="s">
        <v>624</v>
      </c>
      <c r="O8" s="31" t="s">
        <v>625</v>
      </c>
    </row>
    <row r="9" ht="15.6" spans="1:15">
      <c r="A9" s="46" t="s">
        <v>31</v>
      </c>
      <c r="B9" s="47" t="s">
        <v>8</v>
      </c>
      <c r="C9" s="45" t="s">
        <v>683</v>
      </c>
      <c r="D9" s="45" t="s">
        <v>621</v>
      </c>
      <c r="E9" s="45" t="s">
        <v>30</v>
      </c>
      <c r="F9" s="48" t="s">
        <v>11</v>
      </c>
      <c r="G9" s="45">
        <f t="shared" si="0"/>
        <v>0</v>
      </c>
      <c r="J9" s="32" t="s">
        <v>135</v>
      </c>
      <c r="K9" s="33" t="s">
        <v>621</v>
      </c>
      <c r="L9" s="34">
        <f>COUNTIFS(B:B,"Matemātika",D:D,"LV-orig-image")</f>
        <v>16</v>
      </c>
      <c r="M9" s="34">
        <f>SUMIFS(G:G,B:B,"Matemātika",D:D,"LV-orig-image")</f>
        <v>11</v>
      </c>
      <c r="N9" s="34">
        <f t="shared" ref="N9:N14" si="1">L9-M9</f>
        <v>5</v>
      </c>
      <c r="O9" s="35">
        <f t="shared" ref="O9:O14" si="2">M9/L9</f>
        <v>0.6875</v>
      </c>
    </row>
    <row r="10" ht="15.6" spans="1:15">
      <c r="A10" s="46" t="s">
        <v>33</v>
      </c>
      <c r="B10" s="47" t="s">
        <v>8</v>
      </c>
      <c r="C10" s="45" t="s">
        <v>683</v>
      </c>
      <c r="D10" s="45" t="s">
        <v>621</v>
      </c>
      <c r="E10" s="45" t="s">
        <v>17</v>
      </c>
      <c r="F10" s="48" t="s">
        <v>30</v>
      </c>
      <c r="G10" s="45">
        <f t="shared" si="0"/>
        <v>0</v>
      </c>
      <c r="J10" s="32"/>
      <c r="K10" s="36" t="s">
        <v>626</v>
      </c>
      <c r="L10" s="34">
        <f>COUNTIFS(B:B,"Matemātika",D:D,"LV-orig-text")</f>
        <v>60</v>
      </c>
      <c r="M10" s="34">
        <f>SUMIFS(G:G,B:B,"Matemātika",D:D,"LV-orig-text")</f>
        <v>52</v>
      </c>
      <c r="N10" s="34">
        <f t="shared" si="1"/>
        <v>8</v>
      </c>
      <c r="O10" s="35">
        <f t="shared" si="2"/>
        <v>0.866666666666667</v>
      </c>
    </row>
    <row r="11" ht="15.6" spans="1:15">
      <c r="A11" s="46" t="s">
        <v>36</v>
      </c>
      <c r="B11" s="47" t="s">
        <v>8</v>
      </c>
      <c r="C11" s="45" t="s">
        <v>683</v>
      </c>
      <c r="D11" s="45" t="s">
        <v>621</v>
      </c>
      <c r="E11" s="45" t="s">
        <v>17</v>
      </c>
      <c r="F11" s="48" t="s">
        <v>17</v>
      </c>
      <c r="G11" s="45">
        <f t="shared" si="0"/>
        <v>1</v>
      </c>
      <c r="J11" s="32" t="s">
        <v>8</v>
      </c>
      <c r="K11" s="33" t="s">
        <v>621</v>
      </c>
      <c r="L11" s="32">
        <f>COUNTIFS(B:B,"Fizika",D:D,"LV-orig-image")</f>
        <v>38</v>
      </c>
      <c r="M11" s="32">
        <f>SUMIFS(G:G,B:B,"Fizika",D:D,"LV-orig-image")</f>
        <v>30</v>
      </c>
      <c r="N11" s="32">
        <f t="shared" si="1"/>
        <v>8</v>
      </c>
      <c r="O11" s="37">
        <f t="shared" si="2"/>
        <v>0.789473684210526</v>
      </c>
    </row>
    <row r="12" ht="15.6" spans="1:15">
      <c r="A12" s="46" t="s">
        <v>38</v>
      </c>
      <c r="B12" s="47" t="s">
        <v>39</v>
      </c>
      <c r="C12" s="45" t="s">
        <v>683</v>
      </c>
      <c r="D12" s="45" t="s">
        <v>621</v>
      </c>
      <c r="E12" s="45" t="s">
        <v>26</v>
      </c>
      <c r="F12" s="48" t="s">
        <v>26</v>
      </c>
      <c r="G12" s="45">
        <f t="shared" si="0"/>
        <v>1</v>
      </c>
      <c r="J12" s="32" t="s">
        <v>39</v>
      </c>
      <c r="K12" s="33" t="s">
        <v>621</v>
      </c>
      <c r="L12" s="32">
        <f>COUNTIFS(B:B,"Ķīmija",D:D,"LV-orig-image")</f>
        <v>32</v>
      </c>
      <c r="M12" s="32">
        <f>SUMIFS(G:G,B:B,"Ķīmija",D:D,"LV-orig-image")</f>
        <v>20</v>
      </c>
      <c r="N12" s="32">
        <f t="shared" si="1"/>
        <v>12</v>
      </c>
      <c r="O12" s="37">
        <f t="shared" si="2"/>
        <v>0.625</v>
      </c>
    </row>
    <row r="13" ht="15.6" spans="1:15">
      <c r="A13" s="46" t="s">
        <v>42</v>
      </c>
      <c r="B13" s="47" t="s">
        <v>39</v>
      </c>
      <c r="C13" s="45" t="s">
        <v>683</v>
      </c>
      <c r="D13" s="45" t="s">
        <v>621</v>
      </c>
      <c r="E13" s="45" t="s">
        <v>26</v>
      </c>
      <c r="F13" s="48" t="s">
        <v>26</v>
      </c>
      <c r="G13" s="45">
        <f t="shared" si="0"/>
        <v>1</v>
      </c>
      <c r="J13" s="32" t="s">
        <v>69</v>
      </c>
      <c r="K13" s="33" t="s">
        <v>621</v>
      </c>
      <c r="L13" s="32">
        <f>COUNTIFS(B:B,"Bioloģija",D:D,"LV-orig-image")</f>
        <v>49</v>
      </c>
      <c r="M13" s="32">
        <f>SUMIFS(G:G,B:B,"Bioloģija",D:D,"LV-orig-image")</f>
        <v>31</v>
      </c>
      <c r="N13" s="32">
        <f t="shared" si="1"/>
        <v>18</v>
      </c>
      <c r="O13" s="37">
        <f t="shared" si="2"/>
        <v>0.63265306122449</v>
      </c>
    </row>
    <row r="14" ht="15.6" spans="1:15">
      <c r="A14" s="46" t="s">
        <v>44</v>
      </c>
      <c r="B14" s="47" t="s">
        <v>39</v>
      </c>
      <c r="C14" s="45" t="s">
        <v>683</v>
      </c>
      <c r="D14" s="45" t="s">
        <v>621</v>
      </c>
      <c r="E14" s="45" t="s">
        <v>17</v>
      </c>
      <c r="F14" s="48" t="s">
        <v>17</v>
      </c>
      <c r="G14" s="45">
        <f t="shared" si="0"/>
        <v>1</v>
      </c>
      <c r="J14" s="32" t="s">
        <v>113</v>
      </c>
      <c r="K14" s="33" t="s">
        <v>621</v>
      </c>
      <c r="L14" s="32">
        <f>COUNTIFS(B:B,"Ģeogrāfija",D:D,"LV-orig-image")</f>
        <v>20</v>
      </c>
      <c r="M14" s="32">
        <f>SUMIFS(G:G,B:B,"Ģeogrāfija",D:D,"LV-orig-image")</f>
        <v>16</v>
      </c>
      <c r="N14" s="32">
        <f t="shared" si="1"/>
        <v>4</v>
      </c>
      <c r="O14" s="37">
        <f t="shared" si="2"/>
        <v>0.8</v>
      </c>
    </row>
    <row r="15" ht="15.6" spans="1:15">
      <c r="A15" s="46" t="s">
        <v>46</v>
      </c>
      <c r="B15" s="47" t="s">
        <v>39</v>
      </c>
      <c r="C15" s="45" t="s">
        <v>683</v>
      </c>
      <c r="D15" s="45" t="s">
        <v>621</v>
      </c>
      <c r="E15" s="45" t="s">
        <v>17</v>
      </c>
      <c r="F15" s="48" t="s">
        <v>17</v>
      </c>
      <c r="G15" s="45">
        <f t="shared" si="0"/>
        <v>1</v>
      </c>
    </row>
    <row r="16" ht="15.6" spans="1:15">
      <c r="A16" s="46" t="s">
        <v>48</v>
      </c>
      <c r="B16" s="47" t="s">
        <v>39</v>
      </c>
      <c r="C16" s="45" t="s">
        <v>683</v>
      </c>
      <c r="D16" s="45" t="s">
        <v>621</v>
      </c>
      <c r="E16" s="45" t="s">
        <v>30</v>
      </c>
      <c r="F16" s="48" t="s">
        <v>17</v>
      </c>
      <c r="G16" s="45">
        <f t="shared" si="0"/>
        <v>0</v>
      </c>
    </row>
    <row r="17" ht="15.6" spans="1:7">
      <c r="A17" s="46" t="s">
        <v>51</v>
      </c>
      <c r="B17" s="47" t="s">
        <v>39</v>
      </c>
      <c r="C17" s="45" t="s">
        <v>683</v>
      </c>
      <c r="D17" s="45" t="s">
        <v>621</v>
      </c>
      <c r="E17" s="45" t="s">
        <v>30</v>
      </c>
      <c r="F17" s="48" t="s">
        <v>30</v>
      </c>
      <c r="G17" s="45">
        <f t="shared" si="0"/>
        <v>1</v>
      </c>
    </row>
    <row r="18" ht="15.6" spans="1:7">
      <c r="A18" s="46" t="s">
        <v>54</v>
      </c>
      <c r="B18" s="47" t="s">
        <v>39</v>
      </c>
      <c r="C18" s="45" t="s">
        <v>683</v>
      </c>
      <c r="D18" s="45" t="s">
        <v>621</v>
      </c>
      <c r="E18" s="45" t="s">
        <v>11</v>
      </c>
      <c r="F18" s="48" t="s">
        <v>11</v>
      </c>
      <c r="G18" s="45">
        <f t="shared" si="0"/>
        <v>1</v>
      </c>
    </row>
    <row r="19" ht="15.6" spans="1:7">
      <c r="A19" s="46" t="s">
        <v>56</v>
      </c>
      <c r="B19" s="47" t="s">
        <v>39</v>
      </c>
      <c r="C19" s="45" t="s">
        <v>683</v>
      </c>
      <c r="D19" s="45" t="s">
        <v>621</v>
      </c>
      <c r="E19" s="45" t="s">
        <v>17</v>
      </c>
      <c r="F19" s="48" t="s">
        <v>17</v>
      </c>
      <c r="G19" s="45">
        <f t="shared" si="0"/>
        <v>1</v>
      </c>
    </row>
    <row r="20" ht="15.6" spans="1:7">
      <c r="A20" s="46" t="s">
        <v>59</v>
      </c>
      <c r="B20" s="47" t="s">
        <v>39</v>
      </c>
      <c r="C20" s="45" t="s">
        <v>683</v>
      </c>
      <c r="D20" s="45" t="s">
        <v>621</v>
      </c>
      <c r="E20" s="45" t="s">
        <v>11</v>
      </c>
      <c r="F20" s="48" t="s">
        <v>26</v>
      </c>
      <c r="G20" s="45">
        <f t="shared" si="0"/>
        <v>0</v>
      </c>
    </row>
    <row r="21" ht="15.6" spans="1:7">
      <c r="A21" s="46" t="s">
        <v>62</v>
      </c>
      <c r="B21" s="47" t="s">
        <v>39</v>
      </c>
      <c r="C21" s="45" t="s">
        <v>683</v>
      </c>
      <c r="D21" s="45" t="s">
        <v>621</v>
      </c>
      <c r="E21" s="45" t="s">
        <v>26</v>
      </c>
      <c r="F21" s="48" t="s">
        <v>30</v>
      </c>
      <c r="G21" s="45">
        <f t="shared" si="0"/>
        <v>0</v>
      </c>
    </row>
    <row r="22" ht="15.6" spans="1:7">
      <c r="A22" s="46" t="s">
        <v>65</v>
      </c>
      <c r="B22" s="47" t="s">
        <v>39</v>
      </c>
      <c r="C22" s="45" t="s">
        <v>683</v>
      </c>
      <c r="D22" s="45" t="s">
        <v>621</v>
      </c>
      <c r="E22" s="45" t="s">
        <v>11</v>
      </c>
      <c r="F22" s="48" t="s">
        <v>11</v>
      </c>
      <c r="G22" s="45">
        <f t="shared" si="0"/>
        <v>1</v>
      </c>
    </row>
    <row r="23" ht="15.6" spans="1:7">
      <c r="A23" s="46" t="s">
        <v>68</v>
      </c>
      <c r="B23" s="47" t="s">
        <v>69</v>
      </c>
      <c r="C23" s="45" t="s">
        <v>683</v>
      </c>
      <c r="D23" s="45" t="s">
        <v>621</v>
      </c>
      <c r="E23" s="45" t="s">
        <v>26</v>
      </c>
      <c r="F23" s="48" t="s">
        <v>26</v>
      </c>
      <c r="G23" s="45">
        <f t="shared" si="0"/>
        <v>1</v>
      </c>
    </row>
    <row r="24" ht="15.6" spans="1:7">
      <c r="A24" s="46" t="s">
        <v>72</v>
      </c>
      <c r="B24" s="47" t="s">
        <v>69</v>
      </c>
      <c r="C24" s="45" t="s">
        <v>683</v>
      </c>
      <c r="D24" s="45" t="s">
        <v>621</v>
      </c>
      <c r="E24" s="45" t="s">
        <v>11</v>
      </c>
      <c r="F24" s="48" t="s">
        <v>11</v>
      </c>
      <c r="G24" s="45">
        <f t="shared" si="0"/>
        <v>1</v>
      </c>
    </row>
    <row r="25" ht="15.6" spans="1:7">
      <c r="A25" s="46" t="s">
        <v>75</v>
      </c>
      <c r="B25" s="47" t="s">
        <v>69</v>
      </c>
      <c r="C25" s="45" t="s">
        <v>683</v>
      </c>
      <c r="D25" s="45" t="s">
        <v>621</v>
      </c>
      <c r="E25" s="45" t="s">
        <v>30</v>
      </c>
      <c r="F25" s="48" t="s">
        <v>30</v>
      </c>
      <c r="G25" s="45">
        <f t="shared" si="0"/>
        <v>1</v>
      </c>
    </row>
    <row r="26" ht="15.6" spans="1:7">
      <c r="A26" s="46" t="s">
        <v>78</v>
      </c>
      <c r="B26" s="47" t="s">
        <v>69</v>
      </c>
      <c r="C26" s="45" t="s">
        <v>683</v>
      </c>
      <c r="D26" s="45" t="s">
        <v>621</v>
      </c>
      <c r="E26" s="45" t="s">
        <v>30</v>
      </c>
      <c r="F26" s="48" t="s">
        <v>30</v>
      </c>
      <c r="G26" s="45">
        <f t="shared" si="0"/>
        <v>1</v>
      </c>
    </row>
    <row r="27" ht="15.6" spans="1:7">
      <c r="A27" s="46" t="s">
        <v>81</v>
      </c>
      <c r="B27" s="47" t="s">
        <v>69</v>
      </c>
      <c r="C27" s="45" t="s">
        <v>683</v>
      </c>
      <c r="D27" s="45" t="s">
        <v>621</v>
      </c>
      <c r="E27" s="45" t="s">
        <v>11</v>
      </c>
      <c r="F27" s="48" t="s">
        <v>11</v>
      </c>
      <c r="G27" s="45">
        <f t="shared" si="0"/>
        <v>1</v>
      </c>
    </row>
    <row r="28" ht="15.6" spans="1:7">
      <c r="A28" s="46" t="s">
        <v>84</v>
      </c>
      <c r="B28" s="47" t="s">
        <v>69</v>
      </c>
      <c r="C28" s="45" t="s">
        <v>683</v>
      </c>
      <c r="D28" s="45" t="s">
        <v>621</v>
      </c>
      <c r="E28" s="45" t="s">
        <v>11</v>
      </c>
      <c r="F28" s="48" t="s">
        <v>11</v>
      </c>
      <c r="G28" s="45">
        <f t="shared" si="0"/>
        <v>1</v>
      </c>
    </row>
    <row r="29" ht="15.6" spans="1:7">
      <c r="A29" s="46" t="s">
        <v>86</v>
      </c>
      <c r="B29" s="47" t="s">
        <v>69</v>
      </c>
      <c r="C29" s="45" t="s">
        <v>683</v>
      </c>
      <c r="D29" s="45" t="s">
        <v>621</v>
      </c>
      <c r="E29" s="45" t="s">
        <v>26</v>
      </c>
      <c r="F29" s="48" t="s">
        <v>83</v>
      </c>
      <c r="G29" s="45">
        <f t="shared" si="0"/>
        <v>0</v>
      </c>
    </row>
    <row r="30" ht="15.6" spans="1:7">
      <c r="A30" s="46" t="s">
        <v>89</v>
      </c>
      <c r="B30" s="47" t="s">
        <v>69</v>
      </c>
      <c r="C30" s="45" t="s">
        <v>683</v>
      </c>
      <c r="D30" s="45" t="s">
        <v>621</v>
      </c>
      <c r="E30" s="45" t="s">
        <v>30</v>
      </c>
      <c r="F30" s="48" t="s">
        <v>30</v>
      </c>
      <c r="G30" s="45">
        <f t="shared" si="0"/>
        <v>1</v>
      </c>
    </row>
    <row r="31" ht="15.6" spans="1:7">
      <c r="A31" s="46" t="s">
        <v>92</v>
      </c>
      <c r="B31" s="47" t="s">
        <v>69</v>
      </c>
      <c r="C31" s="45" t="s">
        <v>683</v>
      </c>
      <c r="D31" s="45" t="s">
        <v>621</v>
      </c>
      <c r="E31" s="45" t="s">
        <v>17</v>
      </c>
      <c r="F31" s="48" t="s">
        <v>17</v>
      </c>
      <c r="G31" s="45">
        <f t="shared" si="0"/>
        <v>1</v>
      </c>
    </row>
    <row r="32" ht="15.6" spans="1:7">
      <c r="A32" s="46" t="s">
        <v>95</v>
      </c>
      <c r="B32" s="47" t="s">
        <v>69</v>
      </c>
      <c r="C32" s="45" t="s">
        <v>683</v>
      </c>
      <c r="D32" s="45" t="s">
        <v>621</v>
      </c>
      <c r="E32" s="45" t="s">
        <v>30</v>
      </c>
      <c r="F32" s="48" t="s">
        <v>30</v>
      </c>
      <c r="G32" s="45">
        <f t="shared" si="0"/>
        <v>1</v>
      </c>
    </row>
    <row r="33" ht="15.6" spans="1:7">
      <c r="A33" s="46" t="s">
        <v>98</v>
      </c>
      <c r="B33" s="47" t="s">
        <v>69</v>
      </c>
      <c r="C33" s="45" t="s">
        <v>683</v>
      </c>
      <c r="D33" s="45" t="s">
        <v>621</v>
      </c>
      <c r="E33" s="45" t="s">
        <v>11</v>
      </c>
      <c r="F33" s="48" t="s">
        <v>26</v>
      </c>
      <c r="G33" s="45">
        <f t="shared" si="0"/>
        <v>0</v>
      </c>
    </row>
    <row r="34" ht="15.6" spans="1:7">
      <c r="A34" s="46" t="s">
        <v>101</v>
      </c>
      <c r="B34" s="47" t="s">
        <v>69</v>
      </c>
      <c r="C34" s="45" t="s">
        <v>683</v>
      </c>
      <c r="D34" s="45" t="s">
        <v>621</v>
      </c>
      <c r="E34" s="45" t="s">
        <v>11</v>
      </c>
      <c r="F34" s="48" t="s">
        <v>26</v>
      </c>
      <c r="G34" s="45">
        <f t="shared" si="0"/>
        <v>0</v>
      </c>
    </row>
    <row r="35" ht="15.6" spans="1:7">
      <c r="A35" s="46" t="s">
        <v>103</v>
      </c>
      <c r="B35" s="47" t="s">
        <v>69</v>
      </c>
      <c r="C35" s="45" t="s">
        <v>683</v>
      </c>
      <c r="D35" s="45" t="s">
        <v>621</v>
      </c>
      <c r="E35" s="45" t="s">
        <v>17</v>
      </c>
      <c r="F35" s="48" t="s">
        <v>17</v>
      </c>
      <c r="G35" s="45">
        <f t="shared" si="0"/>
        <v>1</v>
      </c>
    </row>
    <row r="36" ht="15.6" spans="1:7">
      <c r="A36" s="46" t="s">
        <v>106</v>
      </c>
      <c r="B36" s="47" t="s">
        <v>69</v>
      </c>
      <c r="C36" s="45" t="s">
        <v>683</v>
      </c>
      <c r="D36" s="45" t="s">
        <v>621</v>
      </c>
      <c r="E36" s="45" t="s">
        <v>30</v>
      </c>
      <c r="F36" s="48" t="s">
        <v>26</v>
      </c>
      <c r="G36" s="45">
        <f t="shared" si="0"/>
        <v>0</v>
      </c>
    </row>
    <row r="37" ht="15.6" spans="1:7">
      <c r="A37" s="46" t="s">
        <v>109</v>
      </c>
      <c r="B37" s="47" t="s">
        <v>69</v>
      </c>
      <c r="C37" s="45" t="s">
        <v>683</v>
      </c>
      <c r="D37" s="45" t="s">
        <v>621</v>
      </c>
      <c r="E37" s="45" t="s">
        <v>17</v>
      </c>
      <c r="F37" s="48" t="s">
        <v>26</v>
      </c>
      <c r="G37" s="45">
        <f t="shared" si="0"/>
        <v>0</v>
      </c>
    </row>
    <row r="38" ht="15.6" spans="1:7">
      <c r="A38" s="46" t="s">
        <v>112</v>
      </c>
      <c r="B38" s="47" t="s">
        <v>113</v>
      </c>
      <c r="C38" s="45" t="s">
        <v>683</v>
      </c>
      <c r="D38" s="45" t="s">
        <v>621</v>
      </c>
      <c r="E38" s="45" t="s">
        <v>17</v>
      </c>
      <c r="F38" s="48" t="s">
        <v>17</v>
      </c>
      <c r="G38" s="45">
        <f t="shared" si="0"/>
        <v>1</v>
      </c>
    </row>
    <row r="39" ht="15.6" spans="1:7">
      <c r="A39" s="46" t="s">
        <v>116</v>
      </c>
      <c r="B39" s="47" t="s">
        <v>113</v>
      </c>
      <c r="C39" s="45" t="s">
        <v>683</v>
      </c>
      <c r="D39" s="45" t="s">
        <v>621</v>
      </c>
      <c r="E39" s="45" t="s">
        <v>26</v>
      </c>
      <c r="F39" s="48" t="s">
        <v>26</v>
      </c>
      <c r="G39" s="45">
        <f t="shared" si="0"/>
        <v>1</v>
      </c>
    </row>
    <row r="40" ht="15.6" spans="1:7">
      <c r="A40" s="46" t="s">
        <v>119</v>
      </c>
      <c r="B40" s="47" t="s">
        <v>113</v>
      </c>
      <c r="C40" s="45" t="s">
        <v>683</v>
      </c>
      <c r="D40" s="45" t="s">
        <v>621</v>
      </c>
      <c r="E40" s="45" t="s">
        <v>30</v>
      </c>
      <c r="F40" s="48" t="s">
        <v>30</v>
      </c>
      <c r="G40" s="45">
        <f t="shared" si="0"/>
        <v>1</v>
      </c>
    </row>
    <row r="41" ht="15.6" spans="1:7">
      <c r="A41" s="46" t="s">
        <v>122</v>
      </c>
      <c r="B41" s="47" t="s">
        <v>113</v>
      </c>
      <c r="C41" s="45" t="s">
        <v>683</v>
      </c>
      <c r="D41" s="45" t="s">
        <v>621</v>
      </c>
      <c r="E41" s="45" t="s">
        <v>30</v>
      </c>
      <c r="F41" s="48" t="s">
        <v>30</v>
      </c>
      <c r="G41" s="45">
        <f t="shared" si="0"/>
        <v>1</v>
      </c>
    </row>
    <row r="42" ht="15.6" spans="1:7">
      <c r="A42" s="46" t="s">
        <v>125</v>
      </c>
      <c r="B42" s="47" t="s">
        <v>113</v>
      </c>
      <c r="C42" s="45" t="s">
        <v>683</v>
      </c>
      <c r="D42" s="45" t="s">
        <v>621</v>
      </c>
      <c r="E42" s="45" t="s">
        <v>30</v>
      </c>
      <c r="F42" s="48" t="s">
        <v>26</v>
      </c>
      <c r="G42" s="45">
        <f t="shared" si="0"/>
        <v>0</v>
      </c>
    </row>
    <row r="43" ht="15.6" spans="1:7">
      <c r="A43" s="46" t="s">
        <v>128</v>
      </c>
      <c r="B43" s="47" t="s">
        <v>113</v>
      </c>
      <c r="C43" s="45" t="s">
        <v>683</v>
      </c>
      <c r="D43" s="45" t="s">
        <v>621</v>
      </c>
      <c r="E43" s="45" t="s">
        <v>30</v>
      </c>
      <c r="F43" s="48" t="s">
        <v>26</v>
      </c>
      <c r="G43" s="45">
        <f t="shared" si="0"/>
        <v>0</v>
      </c>
    </row>
    <row r="44" ht="15.6" spans="1:7">
      <c r="A44" s="46" t="s">
        <v>131</v>
      </c>
      <c r="B44" s="47" t="s">
        <v>113</v>
      </c>
      <c r="C44" s="45" t="s">
        <v>683</v>
      </c>
      <c r="D44" s="45" t="s">
        <v>621</v>
      </c>
      <c r="E44" s="45" t="s">
        <v>30</v>
      </c>
      <c r="F44" s="48" t="s">
        <v>30</v>
      </c>
      <c r="G44" s="45">
        <f t="shared" si="0"/>
        <v>1</v>
      </c>
    </row>
    <row r="45" ht="15.6" spans="1:7">
      <c r="A45" s="46" t="s">
        <v>134</v>
      </c>
      <c r="B45" s="47" t="s">
        <v>135</v>
      </c>
      <c r="C45" s="45" t="s">
        <v>683</v>
      </c>
      <c r="D45" s="45" t="s">
        <v>621</v>
      </c>
      <c r="E45" s="45" t="s">
        <v>30</v>
      </c>
      <c r="F45" s="48" t="s">
        <v>17</v>
      </c>
      <c r="G45" s="45">
        <f t="shared" si="0"/>
        <v>0</v>
      </c>
    </row>
    <row r="46" ht="15.6" spans="1:7">
      <c r="A46" s="46" t="s">
        <v>138</v>
      </c>
      <c r="B46" s="47" t="s">
        <v>135</v>
      </c>
      <c r="C46" s="45" t="s">
        <v>683</v>
      </c>
      <c r="D46" s="45" t="s">
        <v>621</v>
      </c>
      <c r="E46" s="45" t="s">
        <v>11</v>
      </c>
      <c r="F46" s="48" t="s">
        <v>30</v>
      </c>
      <c r="G46" s="45">
        <f t="shared" si="0"/>
        <v>0</v>
      </c>
    </row>
    <row r="47" ht="15.6" spans="1:7">
      <c r="A47" s="46" t="s">
        <v>141</v>
      </c>
      <c r="B47" s="47" t="s">
        <v>135</v>
      </c>
      <c r="C47" s="45" t="s">
        <v>683</v>
      </c>
      <c r="D47" s="45" t="s">
        <v>621</v>
      </c>
      <c r="E47" s="45" t="s">
        <v>26</v>
      </c>
      <c r="F47" s="48" t="s">
        <v>26</v>
      </c>
      <c r="G47" s="45">
        <f t="shared" si="0"/>
        <v>1</v>
      </c>
    </row>
    <row r="48" ht="15.6" spans="1:7">
      <c r="A48" s="46" t="s">
        <v>144</v>
      </c>
      <c r="B48" s="47" t="s">
        <v>135</v>
      </c>
      <c r="C48" s="45" t="s">
        <v>683</v>
      </c>
      <c r="D48" s="45" t="s">
        <v>621</v>
      </c>
      <c r="E48" s="45" t="s">
        <v>30</v>
      </c>
      <c r="F48" s="48" t="s">
        <v>17</v>
      </c>
      <c r="G48" s="45">
        <f t="shared" si="0"/>
        <v>0</v>
      </c>
    </row>
    <row r="49" ht="15.6" spans="1:7">
      <c r="A49" s="46" t="s">
        <v>147</v>
      </c>
      <c r="B49" s="47" t="s">
        <v>135</v>
      </c>
      <c r="C49" s="45" t="s">
        <v>683</v>
      </c>
      <c r="D49" s="45" t="s">
        <v>621</v>
      </c>
      <c r="E49" s="45" t="s">
        <v>30</v>
      </c>
      <c r="F49" s="48" t="s">
        <v>30</v>
      </c>
      <c r="G49" s="45">
        <f t="shared" si="0"/>
        <v>1</v>
      </c>
    </row>
    <row r="50" ht="15.6" spans="1:7">
      <c r="A50" s="46" t="s">
        <v>150</v>
      </c>
      <c r="B50" s="47" t="s">
        <v>135</v>
      </c>
      <c r="C50" s="45" t="s">
        <v>683</v>
      </c>
      <c r="D50" s="45" t="s">
        <v>621</v>
      </c>
      <c r="E50" s="45" t="s">
        <v>11</v>
      </c>
      <c r="F50" s="48" t="s">
        <v>11</v>
      </c>
      <c r="G50" s="45">
        <f t="shared" si="0"/>
        <v>1</v>
      </c>
    </row>
    <row r="51" ht="15.6" spans="1:7">
      <c r="A51" s="46" t="s">
        <v>153</v>
      </c>
      <c r="B51" s="47" t="s">
        <v>135</v>
      </c>
      <c r="C51" s="45" t="s">
        <v>683</v>
      </c>
      <c r="D51" s="45" t="s">
        <v>621</v>
      </c>
      <c r="E51" s="45" t="s">
        <v>11</v>
      </c>
      <c r="F51" s="48" t="s">
        <v>11</v>
      </c>
      <c r="G51" s="45">
        <f t="shared" si="0"/>
        <v>1</v>
      </c>
    </row>
    <row r="52" ht="15.6" spans="1:7">
      <c r="A52" s="46" t="s">
        <v>156</v>
      </c>
      <c r="B52" s="47" t="s">
        <v>135</v>
      </c>
      <c r="C52" s="45" t="s">
        <v>683</v>
      </c>
      <c r="D52" s="45" t="s">
        <v>621</v>
      </c>
      <c r="E52" s="45" t="s">
        <v>17</v>
      </c>
      <c r="F52" s="48" t="s">
        <v>17</v>
      </c>
      <c r="G52" s="45">
        <f t="shared" si="0"/>
        <v>1</v>
      </c>
    </row>
    <row r="53" ht="15.6" spans="1:7">
      <c r="A53" s="46" t="s">
        <v>159</v>
      </c>
      <c r="B53" s="47" t="s">
        <v>135</v>
      </c>
      <c r="C53" s="45" t="s">
        <v>683</v>
      </c>
      <c r="D53" s="45" t="s">
        <v>621</v>
      </c>
      <c r="E53" s="45" t="s">
        <v>11</v>
      </c>
      <c r="F53" s="48" t="s">
        <v>11</v>
      </c>
      <c r="G53" s="45">
        <f t="shared" si="0"/>
        <v>1</v>
      </c>
    </row>
    <row r="54" ht="15.6" spans="1:7">
      <c r="A54" s="46" t="s">
        <v>161</v>
      </c>
      <c r="B54" s="47" t="s">
        <v>135</v>
      </c>
      <c r="C54" s="45" t="s">
        <v>683</v>
      </c>
      <c r="D54" s="45" t="s">
        <v>621</v>
      </c>
      <c r="E54" s="45" t="s">
        <v>26</v>
      </c>
      <c r="F54" s="48" t="s">
        <v>26</v>
      </c>
      <c r="G54" s="45">
        <f t="shared" si="0"/>
        <v>1</v>
      </c>
    </row>
    <row r="55" ht="15.6" spans="1:7">
      <c r="A55" s="46" t="s">
        <v>164</v>
      </c>
      <c r="B55" s="47" t="s">
        <v>135</v>
      </c>
      <c r="C55" s="45" t="s">
        <v>683</v>
      </c>
      <c r="D55" s="45" t="s">
        <v>621</v>
      </c>
      <c r="E55" s="45" t="s">
        <v>17</v>
      </c>
      <c r="F55" s="48" t="s">
        <v>17</v>
      </c>
      <c r="G55" s="45">
        <f t="shared" si="0"/>
        <v>1</v>
      </c>
    </row>
    <row r="56" ht="15.6" spans="1:7">
      <c r="A56" s="46" t="s">
        <v>167</v>
      </c>
      <c r="B56" s="47" t="s">
        <v>135</v>
      </c>
      <c r="C56" s="45" t="s">
        <v>683</v>
      </c>
      <c r="D56" s="45" t="s">
        <v>621</v>
      </c>
      <c r="E56" s="45" t="s">
        <v>30</v>
      </c>
      <c r="F56" s="48" t="s">
        <v>30</v>
      </c>
      <c r="G56" s="45">
        <f t="shared" si="0"/>
        <v>1</v>
      </c>
    </row>
    <row r="57" ht="15.6" spans="1:7">
      <c r="A57" s="46" t="s">
        <v>170</v>
      </c>
      <c r="B57" s="47" t="s">
        <v>135</v>
      </c>
      <c r="C57" s="45" t="s">
        <v>683</v>
      </c>
      <c r="D57" s="45" t="s">
        <v>621</v>
      </c>
      <c r="E57" s="45" t="s">
        <v>30</v>
      </c>
      <c r="F57" s="48" t="s">
        <v>11</v>
      </c>
      <c r="G57" s="45">
        <f t="shared" si="0"/>
        <v>0</v>
      </c>
    </row>
    <row r="58" ht="15.6" spans="1:7">
      <c r="A58" s="46" t="s">
        <v>173</v>
      </c>
      <c r="B58" s="47" t="s">
        <v>39</v>
      </c>
      <c r="C58" s="45" t="s">
        <v>683</v>
      </c>
      <c r="D58" s="45" t="s">
        <v>621</v>
      </c>
      <c r="E58" s="45" t="s">
        <v>11</v>
      </c>
      <c r="F58" s="48" t="s">
        <v>30</v>
      </c>
      <c r="G58" s="45">
        <f t="shared" si="0"/>
        <v>0</v>
      </c>
    </row>
    <row r="59" ht="15.6" spans="1:7">
      <c r="A59" s="46" t="s">
        <v>176</v>
      </c>
      <c r="B59" s="47" t="s">
        <v>39</v>
      </c>
      <c r="C59" s="45" t="s">
        <v>683</v>
      </c>
      <c r="D59" s="45" t="s">
        <v>621</v>
      </c>
      <c r="E59" s="45" t="s">
        <v>26</v>
      </c>
      <c r="F59" s="48" t="s">
        <v>30</v>
      </c>
      <c r="G59" s="45">
        <f t="shared" si="0"/>
        <v>0</v>
      </c>
    </row>
    <row r="60" ht="15.6" spans="1:7">
      <c r="A60" s="46" t="s">
        <v>179</v>
      </c>
      <c r="B60" s="47" t="s">
        <v>39</v>
      </c>
      <c r="C60" s="45" t="s">
        <v>683</v>
      </c>
      <c r="D60" s="45" t="s">
        <v>621</v>
      </c>
      <c r="E60" s="45" t="s">
        <v>26</v>
      </c>
      <c r="F60" s="48" t="s">
        <v>26</v>
      </c>
      <c r="G60" s="45">
        <f t="shared" si="0"/>
        <v>1</v>
      </c>
    </row>
    <row r="61" ht="15.6" spans="1:7">
      <c r="A61" s="46" t="s">
        <v>181</v>
      </c>
      <c r="B61" s="47" t="s">
        <v>39</v>
      </c>
      <c r="C61" s="45" t="s">
        <v>683</v>
      </c>
      <c r="D61" s="45" t="s">
        <v>621</v>
      </c>
      <c r="E61" s="45" t="s">
        <v>17</v>
      </c>
      <c r="F61" s="48" t="s">
        <v>26</v>
      </c>
      <c r="G61" s="45">
        <f t="shared" si="0"/>
        <v>0</v>
      </c>
    </row>
    <row r="62" ht="15.6" spans="1:7">
      <c r="A62" s="46" t="s">
        <v>183</v>
      </c>
      <c r="B62" s="47" t="s">
        <v>39</v>
      </c>
      <c r="C62" s="45" t="s">
        <v>683</v>
      </c>
      <c r="D62" s="45" t="s">
        <v>621</v>
      </c>
      <c r="E62" s="45" t="s">
        <v>17</v>
      </c>
      <c r="F62" s="48" t="s">
        <v>30</v>
      </c>
      <c r="G62" s="45">
        <f t="shared" si="0"/>
        <v>0</v>
      </c>
    </row>
    <row r="63" ht="15.6" spans="1:7">
      <c r="A63" s="46" t="s">
        <v>185</v>
      </c>
      <c r="B63" s="47" t="s">
        <v>39</v>
      </c>
      <c r="C63" s="45" t="s">
        <v>683</v>
      </c>
      <c r="D63" s="45" t="s">
        <v>621</v>
      </c>
      <c r="E63" s="45" t="s">
        <v>17</v>
      </c>
      <c r="F63" s="48" t="s">
        <v>11</v>
      </c>
      <c r="G63" s="45">
        <f t="shared" si="0"/>
        <v>0</v>
      </c>
    </row>
    <row r="64" ht="15.6" spans="1:7">
      <c r="A64" s="46" t="s">
        <v>188</v>
      </c>
      <c r="B64" s="47" t="s">
        <v>39</v>
      </c>
      <c r="C64" s="45" t="s">
        <v>683</v>
      </c>
      <c r="D64" s="45" t="s">
        <v>621</v>
      </c>
      <c r="E64" s="45" t="s">
        <v>11</v>
      </c>
      <c r="F64" s="48" t="s">
        <v>11</v>
      </c>
      <c r="G64" s="45">
        <f t="shared" si="0"/>
        <v>1</v>
      </c>
    </row>
    <row r="65" ht="15.6" spans="1:7">
      <c r="A65" s="46" t="s">
        <v>191</v>
      </c>
      <c r="B65" s="47" t="s">
        <v>39</v>
      </c>
      <c r="C65" s="45" t="s">
        <v>683</v>
      </c>
      <c r="D65" s="45" t="s">
        <v>621</v>
      </c>
      <c r="E65" s="45" t="s">
        <v>30</v>
      </c>
      <c r="F65" s="48" t="s">
        <v>30</v>
      </c>
      <c r="G65" s="45">
        <f t="shared" si="0"/>
        <v>1</v>
      </c>
    </row>
    <row r="66" ht="15.6" spans="1:7">
      <c r="A66" s="46" t="s">
        <v>194</v>
      </c>
      <c r="B66" s="47" t="s">
        <v>39</v>
      </c>
      <c r="C66" s="45" t="s">
        <v>683</v>
      </c>
      <c r="D66" s="45" t="s">
        <v>621</v>
      </c>
      <c r="E66" s="45" t="s">
        <v>17</v>
      </c>
      <c r="F66" s="48" t="s">
        <v>30</v>
      </c>
      <c r="G66" s="45">
        <f t="shared" ref="G66:G129" si="3">IF(E66=F66,1,0)</f>
        <v>0</v>
      </c>
    </row>
    <row r="67" ht="15.6" spans="1:7">
      <c r="A67" s="46" t="s">
        <v>196</v>
      </c>
      <c r="B67" s="47" t="s">
        <v>69</v>
      </c>
      <c r="C67" s="45" t="s">
        <v>683</v>
      </c>
      <c r="D67" s="45" t="s">
        <v>621</v>
      </c>
      <c r="E67" s="45" t="s">
        <v>30</v>
      </c>
      <c r="F67" s="48" t="s">
        <v>30</v>
      </c>
      <c r="G67" s="45">
        <f t="shared" si="3"/>
        <v>1</v>
      </c>
    </row>
    <row r="68" ht="15.6" spans="1:7">
      <c r="A68" s="46" t="s">
        <v>199</v>
      </c>
      <c r="B68" s="47" t="s">
        <v>69</v>
      </c>
      <c r="C68" s="45" t="s">
        <v>683</v>
      </c>
      <c r="D68" s="45" t="s">
        <v>621</v>
      </c>
      <c r="E68" s="45" t="s">
        <v>17</v>
      </c>
      <c r="F68" s="48" t="s">
        <v>17</v>
      </c>
      <c r="G68" s="45">
        <f t="shared" si="3"/>
        <v>1</v>
      </c>
    </row>
    <row r="69" ht="15.6" spans="1:7">
      <c r="A69" s="46" t="s">
        <v>202</v>
      </c>
      <c r="B69" s="47" t="s">
        <v>69</v>
      </c>
      <c r="C69" s="45" t="s">
        <v>683</v>
      </c>
      <c r="D69" s="45" t="s">
        <v>621</v>
      </c>
      <c r="E69" s="45" t="s">
        <v>11</v>
      </c>
      <c r="F69" s="48" t="s">
        <v>30</v>
      </c>
      <c r="G69" s="45">
        <f t="shared" si="3"/>
        <v>0</v>
      </c>
    </row>
    <row r="70" ht="15.6" spans="1:7">
      <c r="A70" s="46" t="s">
        <v>205</v>
      </c>
      <c r="B70" s="47" t="s">
        <v>69</v>
      </c>
      <c r="C70" s="45" t="s">
        <v>683</v>
      </c>
      <c r="D70" s="45" t="s">
        <v>621</v>
      </c>
      <c r="E70" s="45" t="s">
        <v>26</v>
      </c>
      <c r="F70" s="48" t="s">
        <v>26</v>
      </c>
      <c r="G70" s="45">
        <f t="shared" si="3"/>
        <v>1</v>
      </c>
    </row>
    <row r="71" ht="15.6" spans="1:7">
      <c r="A71" s="46" t="s">
        <v>207</v>
      </c>
      <c r="B71" s="47" t="s">
        <v>69</v>
      </c>
      <c r="C71" s="45" t="s">
        <v>683</v>
      </c>
      <c r="D71" s="45" t="s">
        <v>621</v>
      </c>
      <c r="E71" s="45" t="s">
        <v>17</v>
      </c>
      <c r="F71" s="48" t="s">
        <v>17</v>
      </c>
      <c r="G71" s="45">
        <f t="shared" si="3"/>
        <v>1</v>
      </c>
    </row>
    <row r="72" ht="15.6" spans="1:7">
      <c r="A72" s="46" t="s">
        <v>210</v>
      </c>
      <c r="B72" s="47" t="s">
        <v>69</v>
      </c>
      <c r="C72" s="45" t="s">
        <v>683</v>
      </c>
      <c r="D72" s="45" t="s">
        <v>621</v>
      </c>
      <c r="E72" s="45" t="s">
        <v>11</v>
      </c>
      <c r="F72" s="48" t="s">
        <v>11</v>
      </c>
      <c r="G72" s="45">
        <f t="shared" si="3"/>
        <v>1</v>
      </c>
    </row>
    <row r="73" ht="15.6" spans="1:7">
      <c r="A73" s="46" t="s">
        <v>213</v>
      </c>
      <c r="B73" s="47" t="s">
        <v>69</v>
      </c>
      <c r="C73" s="45" t="s">
        <v>683</v>
      </c>
      <c r="D73" s="45" t="s">
        <v>621</v>
      </c>
      <c r="E73" s="45" t="s">
        <v>30</v>
      </c>
      <c r="F73" s="48" t="s">
        <v>30</v>
      </c>
      <c r="G73" s="45">
        <f t="shared" si="3"/>
        <v>1</v>
      </c>
    </row>
    <row r="74" ht="15.6" spans="1:7">
      <c r="A74" s="46" t="s">
        <v>216</v>
      </c>
      <c r="B74" s="47" t="s">
        <v>69</v>
      </c>
      <c r="C74" s="45" t="s">
        <v>683</v>
      </c>
      <c r="D74" s="45" t="s">
        <v>621</v>
      </c>
      <c r="E74" s="45" t="s">
        <v>11</v>
      </c>
      <c r="F74" s="48" t="s">
        <v>11</v>
      </c>
      <c r="G74" s="45">
        <f t="shared" si="3"/>
        <v>1</v>
      </c>
    </row>
    <row r="75" ht="15.6" spans="1:7">
      <c r="A75" s="46" t="s">
        <v>219</v>
      </c>
      <c r="B75" s="47" t="s">
        <v>69</v>
      </c>
      <c r="C75" s="45" t="s">
        <v>683</v>
      </c>
      <c r="D75" s="45" t="s">
        <v>621</v>
      </c>
      <c r="E75" s="45" t="s">
        <v>17</v>
      </c>
      <c r="F75" s="48" t="s">
        <v>17</v>
      </c>
      <c r="G75" s="45">
        <f t="shared" si="3"/>
        <v>1</v>
      </c>
    </row>
    <row r="76" ht="15.6" spans="1:7">
      <c r="A76" s="46" t="s">
        <v>222</v>
      </c>
      <c r="B76" s="47" t="s">
        <v>69</v>
      </c>
      <c r="C76" s="45" t="s">
        <v>683</v>
      </c>
      <c r="D76" s="45" t="s">
        <v>621</v>
      </c>
      <c r="E76" s="45" t="s">
        <v>17</v>
      </c>
      <c r="F76" s="48" t="s">
        <v>11</v>
      </c>
      <c r="G76" s="45">
        <f t="shared" si="3"/>
        <v>0</v>
      </c>
    </row>
    <row r="77" ht="15.6" spans="1:7">
      <c r="A77" s="46" t="s">
        <v>225</v>
      </c>
      <c r="B77" s="47" t="s">
        <v>69</v>
      </c>
      <c r="C77" s="45" t="s">
        <v>683</v>
      </c>
      <c r="D77" s="45" t="s">
        <v>621</v>
      </c>
      <c r="E77" s="45" t="s">
        <v>11</v>
      </c>
      <c r="F77" s="48" t="s">
        <v>11</v>
      </c>
      <c r="G77" s="45">
        <f t="shared" si="3"/>
        <v>1</v>
      </c>
    </row>
    <row r="78" ht="15.6" spans="1:7">
      <c r="A78" s="46" t="s">
        <v>227</v>
      </c>
      <c r="B78" s="47" t="s">
        <v>69</v>
      </c>
      <c r="C78" s="45" t="s">
        <v>683</v>
      </c>
      <c r="D78" s="45" t="s">
        <v>621</v>
      </c>
      <c r="E78" s="45" t="s">
        <v>26</v>
      </c>
      <c r="F78" s="48" t="s">
        <v>26</v>
      </c>
      <c r="G78" s="45">
        <f t="shared" si="3"/>
        <v>1</v>
      </c>
    </row>
    <row r="79" ht="15.6" spans="1:7">
      <c r="A79" s="46" t="s">
        <v>230</v>
      </c>
      <c r="B79" s="47" t="s">
        <v>69</v>
      </c>
      <c r="C79" s="45" t="s">
        <v>683</v>
      </c>
      <c r="D79" s="45" t="s">
        <v>621</v>
      </c>
      <c r="E79" s="45" t="s">
        <v>11</v>
      </c>
      <c r="F79" s="48" t="s">
        <v>17</v>
      </c>
      <c r="G79" s="45">
        <f t="shared" si="3"/>
        <v>0</v>
      </c>
    </row>
    <row r="80" ht="15.6" spans="1:7">
      <c r="A80" s="46" t="s">
        <v>233</v>
      </c>
      <c r="B80" s="47" t="s">
        <v>69</v>
      </c>
      <c r="C80" s="45" t="s">
        <v>683</v>
      </c>
      <c r="D80" s="45" t="s">
        <v>621</v>
      </c>
      <c r="E80" s="45" t="s">
        <v>26</v>
      </c>
      <c r="F80" s="48" t="s">
        <v>26</v>
      </c>
      <c r="G80" s="45">
        <f t="shared" si="3"/>
        <v>1</v>
      </c>
    </row>
    <row r="81" ht="15.6" spans="1:7">
      <c r="A81" s="46" t="s">
        <v>236</v>
      </c>
      <c r="B81" s="47" t="s">
        <v>69</v>
      </c>
      <c r="C81" s="45" t="s">
        <v>683</v>
      </c>
      <c r="D81" s="45" t="s">
        <v>621</v>
      </c>
      <c r="E81" s="45" t="s">
        <v>11</v>
      </c>
      <c r="F81" s="48" t="s">
        <v>11</v>
      </c>
      <c r="G81" s="45">
        <f t="shared" si="3"/>
        <v>1</v>
      </c>
    </row>
    <row r="82" ht="15.6" spans="1:7">
      <c r="A82" s="46" t="s">
        <v>238</v>
      </c>
      <c r="B82" s="47" t="s">
        <v>69</v>
      </c>
      <c r="C82" s="45" t="s">
        <v>683</v>
      </c>
      <c r="D82" s="45" t="s">
        <v>621</v>
      </c>
      <c r="E82" s="45" t="s">
        <v>26</v>
      </c>
      <c r="F82" s="48" t="s">
        <v>26</v>
      </c>
      <c r="G82" s="45">
        <f t="shared" si="3"/>
        <v>1</v>
      </c>
    </row>
    <row r="83" ht="15.6" spans="1:7">
      <c r="A83" s="46" t="s">
        <v>241</v>
      </c>
      <c r="B83" s="47" t="s">
        <v>69</v>
      </c>
      <c r="C83" s="45" t="s">
        <v>683</v>
      </c>
      <c r="D83" s="45" t="s">
        <v>621</v>
      </c>
      <c r="E83" s="45" t="s">
        <v>17</v>
      </c>
      <c r="F83" s="48" t="s">
        <v>17</v>
      </c>
      <c r="G83" s="45">
        <f t="shared" si="3"/>
        <v>1</v>
      </c>
    </row>
    <row r="84" ht="15.6" spans="1:7">
      <c r="A84" s="46" t="s">
        <v>244</v>
      </c>
      <c r="B84" s="47" t="s">
        <v>69</v>
      </c>
      <c r="C84" s="45" t="s">
        <v>683</v>
      </c>
      <c r="D84" s="45" t="s">
        <v>621</v>
      </c>
      <c r="E84" s="45" t="s">
        <v>30</v>
      </c>
      <c r="F84" s="48" t="s">
        <v>30</v>
      </c>
      <c r="G84" s="45">
        <f t="shared" si="3"/>
        <v>1</v>
      </c>
    </row>
    <row r="85" ht="15.6" spans="1:7">
      <c r="A85" s="46" t="s">
        <v>247</v>
      </c>
      <c r="B85" s="47" t="s">
        <v>8</v>
      </c>
      <c r="C85" s="45" t="s">
        <v>683</v>
      </c>
      <c r="D85" s="45" t="s">
        <v>621</v>
      </c>
      <c r="E85" s="45" t="s">
        <v>30</v>
      </c>
      <c r="F85" s="48" t="s">
        <v>30</v>
      </c>
      <c r="G85" s="45">
        <f t="shared" si="3"/>
        <v>1</v>
      </c>
    </row>
    <row r="86" ht="15.6" spans="1:7">
      <c r="A86" s="46" t="s">
        <v>249</v>
      </c>
      <c r="B86" s="47" t="s">
        <v>8</v>
      </c>
      <c r="C86" s="45" t="s">
        <v>683</v>
      </c>
      <c r="D86" s="45" t="s">
        <v>621</v>
      </c>
      <c r="E86" s="45" t="s">
        <v>30</v>
      </c>
      <c r="F86" s="48" t="s">
        <v>30</v>
      </c>
      <c r="G86" s="45">
        <f t="shared" si="3"/>
        <v>1</v>
      </c>
    </row>
    <row r="87" ht="15.6" spans="1:7">
      <c r="A87" s="46" t="s">
        <v>252</v>
      </c>
      <c r="B87" s="47" t="s">
        <v>8</v>
      </c>
      <c r="C87" s="45" t="s">
        <v>683</v>
      </c>
      <c r="D87" s="45" t="s">
        <v>621</v>
      </c>
      <c r="E87" s="45" t="s">
        <v>11</v>
      </c>
      <c r="F87" s="48" t="s">
        <v>11</v>
      </c>
      <c r="G87" s="45">
        <f t="shared" si="3"/>
        <v>1</v>
      </c>
    </row>
    <row r="88" ht="15.6" spans="1:7">
      <c r="A88" s="46" t="s">
        <v>255</v>
      </c>
      <c r="B88" s="47" t="s">
        <v>8</v>
      </c>
      <c r="C88" s="45" t="s">
        <v>683</v>
      </c>
      <c r="D88" s="45" t="s">
        <v>621</v>
      </c>
      <c r="E88" s="45" t="s">
        <v>26</v>
      </c>
      <c r="F88" s="48" t="s">
        <v>26</v>
      </c>
      <c r="G88" s="45">
        <f t="shared" si="3"/>
        <v>1</v>
      </c>
    </row>
    <row r="89" ht="15.6" spans="1:7">
      <c r="A89" s="46" t="s">
        <v>258</v>
      </c>
      <c r="B89" s="47" t="s">
        <v>8</v>
      </c>
      <c r="C89" s="45" t="s">
        <v>683</v>
      </c>
      <c r="D89" s="45" t="s">
        <v>621</v>
      </c>
      <c r="E89" s="45" t="s">
        <v>11</v>
      </c>
      <c r="F89" s="48" t="s">
        <v>11</v>
      </c>
      <c r="G89" s="45">
        <f t="shared" si="3"/>
        <v>1</v>
      </c>
    </row>
    <row r="90" ht="15.6" spans="1:7">
      <c r="A90" s="46" t="s">
        <v>260</v>
      </c>
      <c r="B90" s="47" t="s">
        <v>8</v>
      </c>
      <c r="C90" s="45" t="s">
        <v>683</v>
      </c>
      <c r="D90" s="45" t="s">
        <v>621</v>
      </c>
      <c r="E90" s="45" t="s">
        <v>26</v>
      </c>
      <c r="F90" s="48" t="s">
        <v>26</v>
      </c>
      <c r="G90" s="45">
        <f t="shared" si="3"/>
        <v>1</v>
      </c>
    </row>
    <row r="91" ht="15.6" spans="1:7">
      <c r="A91" s="46" t="s">
        <v>263</v>
      </c>
      <c r="B91" s="47" t="s">
        <v>8</v>
      </c>
      <c r="C91" s="45" t="s">
        <v>683</v>
      </c>
      <c r="D91" s="45" t="s">
        <v>621</v>
      </c>
      <c r="E91" s="45" t="s">
        <v>11</v>
      </c>
      <c r="F91" s="48" t="s">
        <v>11</v>
      </c>
      <c r="G91" s="45">
        <f t="shared" si="3"/>
        <v>1</v>
      </c>
    </row>
    <row r="92" ht="15.6" spans="1:7">
      <c r="A92" s="46" t="s">
        <v>266</v>
      </c>
      <c r="B92" s="47" t="s">
        <v>8</v>
      </c>
      <c r="C92" s="45" t="s">
        <v>683</v>
      </c>
      <c r="D92" s="45" t="s">
        <v>621</v>
      </c>
      <c r="E92" s="45" t="s">
        <v>11</v>
      </c>
      <c r="F92" s="48" t="s">
        <v>11</v>
      </c>
      <c r="G92" s="45">
        <f t="shared" si="3"/>
        <v>1</v>
      </c>
    </row>
    <row r="93" ht="15.6" spans="1:7">
      <c r="A93" s="46" t="s">
        <v>269</v>
      </c>
      <c r="B93" s="47" t="s">
        <v>8</v>
      </c>
      <c r="C93" s="45" t="s">
        <v>683</v>
      </c>
      <c r="D93" s="45" t="s">
        <v>621</v>
      </c>
      <c r="E93" s="45" t="s">
        <v>11</v>
      </c>
      <c r="F93" s="48" t="s">
        <v>11</v>
      </c>
      <c r="G93" s="45">
        <f t="shared" si="3"/>
        <v>1</v>
      </c>
    </row>
    <row r="94" ht="15.6" spans="1:7">
      <c r="A94" s="46" t="s">
        <v>272</v>
      </c>
      <c r="B94" s="47" t="s">
        <v>8</v>
      </c>
      <c r="C94" s="45" t="s">
        <v>683</v>
      </c>
      <c r="D94" s="45" t="s">
        <v>621</v>
      </c>
      <c r="E94" s="45" t="s">
        <v>26</v>
      </c>
      <c r="F94" s="48" t="s">
        <v>26</v>
      </c>
      <c r="G94" s="45">
        <f t="shared" si="3"/>
        <v>1</v>
      </c>
    </row>
    <row r="95" ht="15.6" spans="1:7">
      <c r="A95" s="46" t="s">
        <v>275</v>
      </c>
      <c r="B95" s="47" t="s">
        <v>8</v>
      </c>
      <c r="C95" s="45" t="s">
        <v>683</v>
      </c>
      <c r="D95" s="45" t="s">
        <v>621</v>
      </c>
      <c r="E95" s="45" t="s">
        <v>30</v>
      </c>
      <c r="F95" s="48" t="s">
        <v>30</v>
      </c>
      <c r="G95" s="45">
        <f t="shared" si="3"/>
        <v>1</v>
      </c>
    </row>
    <row r="96" ht="15.6" spans="1:7">
      <c r="A96" s="46" t="s">
        <v>277</v>
      </c>
      <c r="B96" s="47" t="s">
        <v>8</v>
      </c>
      <c r="C96" s="45" t="s">
        <v>683</v>
      </c>
      <c r="D96" s="45" t="s">
        <v>621</v>
      </c>
      <c r="E96" s="45" t="s">
        <v>26</v>
      </c>
      <c r="F96" s="48" t="s">
        <v>26</v>
      </c>
      <c r="G96" s="45">
        <f t="shared" si="3"/>
        <v>1</v>
      </c>
    </row>
    <row r="97" ht="15.6" spans="1:7">
      <c r="A97" s="46" t="s">
        <v>280</v>
      </c>
      <c r="B97" s="47" t="s">
        <v>8</v>
      </c>
      <c r="C97" s="45" t="s">
        <v>683</v>
      </c>
      <c r="D97" s="45" t="s">
        <v>621</v>
      </c>
      <c r="E97" s="45" t="s">
        <v>30</v>
      </c>
      <c r="F97" s="48" t="s">
        <v>17</v>
      </c>
      <c r="G97" s="45">
        <f t="shared" si="3"/>
        <v>0</v>
      </c>
    </row>
    <row r="98" ht="15.6" spans="1:7">
      <c r="A98" s="46" t="s">
        <v>282</v>
      </c>
      <c r="B98" s="47" t="s">
        <v>8</v>
      </c>
      <c r="C98" s="45" t="s">
        <v>683</v>
      </c>
      <c r="D98" s="45" t="s">
        <v>621</v>
      </c>
      <c r="E98" s="45" t="s">
        <v>26</v>
      </c>
      <c r="F98" s="48" t="s">
        <v>30</v>
      </c>
      <c r="G98" s="45">
        <f t="shared" si="3"/>
        <v>0</v>
      </c>
    </row>
    <row r="99" ht="15.6" spans="1:7">
      <c r="A99" s="46" t="s">
        <v>284</v>
      </c>
      <c r="B99" s="47" t="s">
        <v>113</v>
      </c>
      <c r="C99" s="45" t="s">
        <v>683</v>
      </c>
      <c r="D99" s="45" t="s">
        <v>621</v>
      </c>
      <c r="E99" s="45" t="s">
        <v>17</v>
      </c>
      <c r="F99" s="48" t="s">
        <v>30</v>
      </c>
      <c r="G99" s="45">
        <f t="shared" si="3"/>
        <v>0</v>
      </c>
    </row>
    <row r="100" ht="15.6" spans="1:7">
      <c r="A100" s="46" t="s">
        <v>287</v>
      </c>
      <c r="B100" s="47" t="s">
        <v>113</v>
      </c>
      <c r="C100" s="45" t="s">
        <v>683</v>
      </c>
      <c r="D100" s="45" t="s">
        <v>621</v>
      </c>
      <c r="E100" s="45" t="s">
        <v>11</v>
      </c>
      <c r="F100" s="48" t="s">
        <v>11</v>
      </c>
      <c r="G100" s="45">
        <f t="shared" si="3"/>
        <v>1</v>
      </c>
    </row>
    <row r="101" ht="15.6" spans="1:7">
      <c r="A101" s="46" t="s">
        <v>290</v>
      </c>
      <c r="B101" s="47" t="s">
        <v>113</v>
      </c>
      <c r="C101" s="45" t="s">
        <v>683</v>
      </c>
      <c r="D101" s="45" t="s">
        <v>621</v>
      </c>
      <c r="E101" s="45" t="s">
        <v>26</v>
      </c>
      <c r="F101" s="48" t="s">
        <v>11</v>
      </c>
      <c r="G101" s="45">
        <f t="shared" si="3"/>
        <v>0</v>
      </c>
    </row>
    <row r="102" ht="15.6" spans="1:7">
      <c r="A102" s="46" t="s">
        <v>293</v>
      </c>
      <c r="B102" s="47" t="s">
        <v>113</v>
      </c>
      <c r="C102" s="45" t="s">
        <v>683</v>
      </c>
      <c r="D102" s="45" t="s">
        <v>621</v>
      </c>
      <c r="E102" s="45" t="s">
        <v>11</v>
      </c>
      <c r="F102" s="48" t="s">
        <v>11</v>
      </c>
      <c r="G102" s="45">
        <f t="shared" si="3"/>
        <v>1</v>
      </c>
    </row>
    <row r="103" ht="15.6" spans="1:7">
      <c r="A103" s="46" t="s">
        <v>296</v>
      </c>
      <c r="B103" s="47" t="s">
        <v>113</v>
      </c>
      <c r="C103" s="45" t="s">
        <v>683</v>
      </c>
      <c r="D103" s="45" t="s">
        <v>621</v>
      </c>
      <c r="E103" s="45" t="s">
        <v>26</v>
      </c>
      <c r="F103" s="48" t="s">
        <v>26</v>
      </c>
      <c r="G103" s="45">
        <f t="shared" si="3"/>
        <v>1</v>
      </c>
    </row>
    <row r="104" ht="15.6" spans="1:7">
      <c r="A104" s="46" t="s">
        <v>299</v>
      </c>
      <c r="B104" s="47" t="s">
        <v>113</v>
      </c>
      <c r="C104" s="45" t="s">
        <v>683</v>
      </c>
      <c r="D104" s="45" t="s">
        <v>621</v>
      </c>
      <c r="E104" s="45" t="s">
        <v>17</v>
      </c>
      <c r="F104" s="48" t="s">
        <v>17</v>
      </c>
      <c r="G104" s="45">
        <f t="shared" si="3"/>
        <v>1</v>
      </c>
    </row>
    <row r="105" ht="15.6" spans="1:7">
      <c r="A105" s="46" t="s">
        <v>302</v>
      </c>
      <c r="B105" s="47" t="s">
        <v>113</v>
      </c>
      <c r="C105" s="45" t="s">
        <v>683</v>
      </c>
      <c r="D105" s="45" t="s">
        <v>621</v>
      </c>
      <c r="E105" s="45" t="s">
        <v>26</v>
      </c>
      <c r="F105" s="48" t="s">
        <v>26</v>
      </c>
      <c r="G105" s="45">
        <f t="shared" si="3"/>
        <v>1</v>
      </c>
    </row>
    <row r="106" ht="15.6" spans="1:7">
      <c r="A106" s="46" t="s">
        <v>305</v>
      </c>
      <c r="B106" s="47" t="s">
        <v>113</v>
      </c>
      <c r="C106" s="45" t="s">
        <v>683</v>
      </c>
      <c r="D106" s="45" t="s">
        <v>621</v>
      </c>
      <c r="E106" s="45" t="s">
        <v>17</v>
      </c>
      <c r="F106" s="48" t="s">
        <v>17</v>
      </c>
      <c r="G106" s="45">
        <f t="shared" si="3"/>
        <v>1</v>
      </c>
    </row>
    <row r="107" ht="15.6" spans="1:7">
      <c r="A107" s="46" t="s">
        <v>308</v>
      </c>
      <c r="B107" s="47" t="s">
        <v>113</v>
      </c>
      <c r="C107" s="45" t="s">
        <v>683</v>
      </c>
      <c r="D107" s="45" t="s">
        <v>621</v>
      </c>
      <c r="E107" s="45" t="s">
        <v>30</v>
      </c>
      <c r="F107" s="48" t="s">
        <v>30</v>
      </c>
      <c r="G107" s="45">
        <f t="shared" si="3"/>
        <v>1</v>
      </c>
    </row>
    <row r="108" ht="15.6" spans="1:7">
      <c r="A108" s="46" t="s">
        <v>310</v>
      </c>
      <c r="B108" s="47" t="s">
        <v>135</v>
      </c>
      <c r="C108" s="45" t="s">
        <v>683</v>
      </c>
      <c r="D108" s="45" t="s">
        <v>621</v>
      </c>
      <c r="E108" s="45" t="s">
        <v>17</v>
      </c>
      <c r="F108" s="48" t="s">
        <v>17</v>
      </c>
      <c r="G108" s="45">
        <f t="shared" si="3"/>
        <v>1</v>
      </c>
    </row>
    <row r="109" ht="15.6" spans="1:7">
      <c r="A109" s="46" t="s">
        <v>313</v>
      </c>
      <c r="B109" s="47" t="s">
        <v>135</v>
      </c>
      <c r="C109" s="45" t="s">
        <v>683</v>
      </c>
      <c r="D109" s="45" t="s">
        <v>621</v>
      </c>
      <c r="E109" s="45" t="s">
        <v>17</v>
      </c>
      <c r="F109" s="48" t="s">
        <v>26</v>
      </c>
      <c r="G109" s="45">
        <f t="shared" si="3"/>
        <v>0</v>
      </c>
    </row>
    <row r="110" ht="15.6" spans="1:7">
      <c r="A110" s="46" t="s">
        <v>316</v>
      </c>
      <c r="B110" s="47" t="s">
        <v>135</v>
      </c>
      <c r="C110" s="45" t="s">
        <v>683</v>
      </c>
      <c r="D110" s="45" t="s">
        <v>621</v>
      </c>
      <c r="E110" s="45" t="s">
        <v>11</v>
      </c>
      <c r="F110" s="48" t="s">
        <v>11</v>
      </c>
      <c r="G110" s="45">
        <f t="shared" si="3"/>
        <v>1</v>
      </c>
    </row>
    <row r="111" ht="15.6" spans="1:7">
      <c r="A111" s="46" t="s">
        <v>318</v>
      </c>
      <c r="B111" s="47" t="s">
        <v>113</v>
      </c>
      <c r="C111" s="45" t="s">
        <v>683</v>
      </c>
      <c r="D111" s="45" t="s">
        <v>621</v>
      </c>
      <c r="E111" s="45" t="s">
        <v>11</v>
      </c>
      <c r="F111" s="48" t="s">
        <v>11</v>
      </c>
      <c r="G111" s="45">
        <f t="shared" si="3"/>
        <v>1</v>
      </c>
    </row>
    <row r="112" ht="15.6" spans="1:7">
      <c r="A112" s="46" t="s">
        <v>321</v>
      </c>
      <c r="B112" s="47" t="s">
        <v>113</v>
      </c>
      <c r="C112" s="45" t="s">
        <v>683</v>
      </c>
      <c r="D112" s="45" t="s">
        <v>621</v>
      </c>
      <c r="E112" s="45" t="s">
        <v>11</v>
      </c>
      <c r="F112" s="48" t="s">
        <v>11</v>
      </c>
      <c r="G112" s="45">
        <f t="shared" si="3"/>
        <v>1</v>
      </c>
    </row>
    <row r="113" ht="15.6" spans="1:7">
      <c r="A113" s="46" t="s">
        <v>324</v>
      </c>
      <c r="B113" s="47" t="s">
        <v>113</v>
      </c>
      <c r="C113" s="45" t="s">
        <v>683</v>
      </c>
      <c r="D113" s="45" t="s">
        <v>621</v>
      </c>
      <c r="E113" s="45" t="s">
        <v>11</v>
      </c>
      <c r="F113" s="48" t="s">
        <v>11</v>
      </c>
      <c r="G113" s="45">
        <f t="shared" si="3"/>
        <v>1</v>
      </c>
    </row>
    <row r="114" ht="15.6" spans="1:7">
      <c r="A114" s="46" t="s">
        <v>327</v>
      </c>
      <c r="B114" s="47" t="s">
        <v>113</v>
      </c>
      <c r="C114" s="45" t="s">
        <v>683</v>
      </c>
      <c r="D114" s="45" t="s">
        <v>621</v>
      </c>
      <c r="E114" s="45" t="s">
        <v>26</v>
      </c>
      <c r="F114" s="48" t="s">
        <v>26</v>
      </c>
      <c r="G114" s="45">
        <f t="shared" si="3"/>
        <v>1</v>
      </c>
    </row>
    <row r="115" ht="15.6" spans="1:7">
      <c r="A115" s="46" t="s">
        <v>330</v>
      </c>
      <c r="B115" s="47" t="s">
        <v>8</v>
      </c>
      <c r="C115" s="45" t="s">
        <v>683</v>
      </c>
      <c r="D115" s="45" t="s">
        <v>621</v>
      </c>
      <c r="E115" s="45" t="s">
        <v>11</v>
      </c>
      <c r="F115" s="48" t="s">
        <v>11</v>
      </c>
      <c r="G115" s="45">
        <f t="shared" si="3"/>
        <v>1</v>
      </c>
    </row>
    <row r="116" ht="15.6" spans="1:7">
      <c r="A116" s="46" t="s">
        <v>333</v>
      </c>
      <c r="B116" s="47" t="s">
        <v>8</v>
      </c>
      <c r="C116" s="45" t="s">
        <v>683</v>
      </c>
      <c r="D116" s="45" t="s">
        <v>621</v>
      </c>
      <c r="E116" s="45" t="s">
        <v>17</v>
      </c>
      <c r="F116" s="48" t="s">
        <v>17</v>
      </c>
      <c r="G116" s="45">
        <f t="shared" si="3"/>
        <v>1</v>
      </c>
    </row>
    <row r="117" ht="15.6" spans="1:7">
      <c r="A117" s="46" t="s">
        <v>336</v>
      </c>
      <c r="B117" s="47" t="s">
        <v>8</v>
      </c>
      <c r="C117" s="45" t="s">
        <v>683</v>
      </c>
      <c r="D117" s="45" t="s">
        <v>621</v>
      </c>
      <c r="E117" s="45" t="s">
        <v>17</v>
      </c>
      <c r="F117" s="48" t="s">
        <v>17</v>
      </c>
      <c r="G117" s="45">
        <f t="shared" si="3"/>
        <v>1</v>
      </c>
    </row>
    <row r="118" ht="15.6" spans="1:7">
      <c r="A118" s="46" t="s">
        <v>339</v>
      </c>
      <c r="B118" s="47" t="s">
        <v>8</v>
      </c>
      <c r="C118" s="45" t="s">
        <v>683</v>
      </c>
      <c r="D118" s="45" t="s">
        <v>621</v>
      </c>
      <c r="E118" s="45" t="s">
        <v>30</v>
      </c>
      <c r="F118" s="48" t="s">
        <v>11</v>
      </c>
      <c r="G118" s="45">
        <f t="shared" si="3"/>
        <v>0</v>
      </c>
    </row>
    <row r="119" ht="15.6" spans="1:7">
      <c r="A119" s="46" t="s">
        <v>341</v>
      </c>
      <c r="B119" s="47" t="s">
        <v>8</v>
      </c>
      <c r="C119" s="45" t="s">
        <v>683</v>
      </c>
      <c r="D119" s="45" t="s">
        <v>621</v>
      </c>
      <c r="E119" s="45" t="s">
        <v>30</v>
      </c>
      <c r="F119" s="48" t="s">
        <v>30</v>
      </c>
      <c r="G119" s="45">
        <f t="shared" si="3"/>
        <v>1</v>
      </c>
    </row>
    <row r="120" ht="15.6" spans="1:7">
      <c r="A120" s="46" t="s">
        <v>344</v>
      </c>
      <c r="B120" s="47" t="s">
        <v>8</v>
      </c>
      <c r="C120" s="45" t="s">
        <v>683</v>
      </c>
      <c r="D120" s="45" t="s">
        <v>621</v>
      </c>
      <c r="E120" s="45" t="s">
        <v>30</v>
      </c>
      <c r="F120" s="48" t="s">
        <v>83</v>
      </c>
      <c r="G120" s="45">
        <f t="shared" si="3"/>
        <v>0</v>
      </c>
    </row>
    <row r="121" ht="15.6" spans="1:7">
      <c r="A121" s="46" t="s">
        <v>346</v>
      </c>
      <c r="B121" s="47" t="s">
        <v>8</v>
      </c>
      <c r="C121" s="45" t="s">
        <v>683</v>
      </c>
      <c r="D121" s="45" t="s">
        <v>621</v>
      </c>
      <c r="E121" s="45" t="s">
        <v>30</v>
      </c>
      <c r="F121" s="48" t="s">
        <v>30</v>
      </c>
      <c r="G121" s="45">
        <f t="shared" si="3"/>
        <v>1</v>
      </c>
    </row>
    <row r="122" ht="15.6" spans="1:7">
      <c r="A122" s="46" t="s">
        <v>349</v>
      </c>
      <c r="B122" s="47" t="s">
        <v>8</v>
      </c>
      <c r="C122" s="45" t="s">
        <v>683</v>
      </c>
      <c r="D122" s="45" t="s">
        <v>621</v>
      </c>
      <c r="E122" s="45" t="s">
        <v>17</v>
      </c>
      <c r="F122" s="48" t="s">
        <v>17</v>
      </c>
      <c r="G122" s="45">
        <f t="shared" si="3"/>
        <v>1</v>
      </c>
    </row>
    <row r="123" ht="15.6" spans="1:7">
      <c r="A123" s="46" t="s">
        <v>351</v>
      </c>
      <c r="B123" s="47" t="s">
        <v>8</v>
      </c>
      <c r="C123" s="45" t="s">
        <v>683</v>
      </c>
      <c r="D123" s="45" t="s">
        <v>621</v>
      </c>
      <c r="E123" s="45" t="s">
        <v>11</v>
      </c>
      <c r="F123" s="48" t="s">
        <v>26</v>
      </c>
      <c r="G123" s="45">
        <f t="shared" si="3"/>
        <v>0</v>
      </c>
    </row>
    <row r="124" ht="15.6" spans="1:7">
      <c r="A124" s="46" t="s">
        <v>354</v>
      </c>
      <c r="B124" s="47" t="s">
        <v>8</v>
      </c>
      <c r="C124" s="45" t="s">
        <v>683</v>
      </c>
      <c r="D124" s="45" t="s">
        <v>621</v>
      </c>
      <c r="E124" s="45" t="s">
        <v>11</v>
      </c>
      <c r="F124" s="48" t="s">
        <v>11</v>
      </c>
      <c r="G124" s="45">
        <f t="shared" si="3"/>
        <v>1</v>
      </c>
    </row>
    <row r="125" ht="15.6" spans="1:7">
      <c r="A125" s="46" t="s">
        <v>356</v>
      </c>
      <c r="B125" s="47" t="s">
        <v>8</v>
      </c>
      <c r="C125" s="45" t="s">
        <v>683</v>
      </c>
      <c r="D125" s="45" t="s">
        <v>621</v>
      </c>
      <c r="E125" s="45" t="s">
        <v>17</v>
      </c>
      <c r="F125" s="48" t="s">
        <v>17</v>
      </c>
      <c r="G125" s="45">
        <f t="shared" si="3"/>
        <v>1</v>
      </c>
    </row>
    <row r="126" ht="15.6" spans="1:7">
      <c r="A126" s="46" t="s">
        <v>359</v>
      </c>
      <c r="B126" s="47" t="s">
        <v>8</v>
      </c>
      <c r="C126" s="45" t="s">
        <v>683</v>
      </c>
      <c r="D126" s="45" t="s">
        <v>621</v>
      </c>
      <c r="E126" s="45" t="s">
        <v>30</v>
      </c>
      <c r="F126" s="48" t="s">
        <v>30</v>
      </c>
      <c r="G126" s="45">
        <f t="shared" si="3"/>
        <v>1</v>
      </c>
    </row>
    <row r="127" ht="15.6" spans="1:7">
      <c r="A127" s="46" t="s">
        <v>362</v>
      </c>
      <c r="B127" s="47" t="s">
        <v>8</v>
      </c>
      <c r="C127" s="45" t="s">
        <v>683</v>
      </c>
      <c r="D127" s="45" t="s">
        <v>621</v>
      </c>
      <c r="E127" s="45" t="s">
        <v>26</v>
      </c>
      <c r="F127" s="48" t="s">
        <v>26</v>
      </c>
      <c r="G127" s="45">
        <f t="shared" si="3"/>
        <v>1</v>
      </c>
    </row>
    <row r="128" ht="15.6" spans="1:7">
      <c r="A128" s="46" t="s">
        <v>365</v>
      </c>
      <c r="B128" s="47" t="s">
        <v>8</v>
      </c>
      <c r="C128" s="45" t="s">
        <v>683</v>
      </c>
      <c r="D128" s="45" t="s">
        <v>621</v>
      </c>
      <c r="E128" s="45" t="s">
        <v>11</v>
      </c>
      <c r="F128" s="48" t="s">
        <v>11</v>
      </c>
      <c r="G128" s="45">
        <f t="shared" si="3"/>
        <v>1</v>
      </c>
    </row>
    <row r="129" ht="15.6" spans="1:7">
      <c r="A129" s="46" t="s">
        <v>367</v>
      </c>
      <c r="B129" s="47" t="s">
        <v>39</v>
      </c>
      <c r="C129" s="45" t="s">
        <v>683</v>
      </c>
      <c r="D129" s="45" t="s">
        <v>621</v>
      </c>
      <c r="E129" s="45" t="s">
        <v>30</v>
      </c>
      <c r="F129" s="48" t="s">
        <v>30</v>
      </c>
      <c r="G129" s="45">
        <f t="shared" si="3"/>
        <v>1</v>
      </c>
    </row>
    <row r="130" ht="15.6" spans="1:7">
      <c r="A130" s="46" t="s">
        <v>369</v>
      </c>
      <c r="B130" s="47" t="s">
        <v>39</v>
      </c>
      <c r="C130" s="45" t="s">
        <v>683</v>
      </c>
      <c r="D130" s="45" t="s">
        <v>621</v>
      </c>
      <c r="E130" s="45" t="s">
        <v>26</v>
      </c>
      <c r="F130" s="48" t="s">
        <v>26</v>
      </c>
      <c r="G130" s="45">
        <f t="shared" ref="G130:G156" si="4">IF(E130=F130,1,0)</f>
        <v>1</v>
      </c>
    </row>
    <row r="131" ht="15.6" spans="1:7">
      <c r="A131" s="46" t="s">
        <v>372</v>
      </c>
      <c r="B131" s="47" t="s">
        <v>39</v>
      </c>
      <c r="C131" s="45" t="s">
        <v>683</v>
      </c>
      <c r="D131" s="45" t="s">
        <v>621</v>
      </c>
      <c r="E131" s="45" t="s">
        <v>17</v>
      </c>
      <c r="F131" s="48" t="s">
        <v>30</v>
      </c>
      <c r="G131" s="45">
        <f t="shared" si="4"/>
        <v>0</v>
      </c>
    </row>
    <row r="132" ht="15.6" spans="1:7">
      <c r="A132" s="46" t="s">
        <v>375</v>
      </c>
      <c r="B132" s="47" t="s">
        <v>39</v>
      </c>
      <c r="C132" s="45" t="s">
        <v>683</v>
      </c>
      <c r="D132" s="45" t="s">
        <v>621</v>
      </c>
      <c r="E132" s="45" t="s">
        <v>17</v>
      </c>
      <c r="F132" s="48" t="s">
        <v>17</v>
      </c>
      <c r="G132" s="45">
        <f t="shared" si="4"/>
        <v>1</v>
      </c>
    </row>
    <row r="133" ht="15.6" spans="1:7">
      <c r="A133" s="46" t="s">
        <v>378</v>
      </c>
      <c r="B133" s="47" t="s">
        <v>39</v>
      </c>
      <c r="C133" s="45" t="s">
        <v>683</v>
      </c>
      <c r="D133" s="45" t="s">
        <v>621</v>
      </c>
      <c r="E133" s="45" t="s">
        <v>11</v>
      </c>
      <c r="F133" s="48" t="s">
        <v>11</v>
      </c>
      <c r="G133" s="45">
        <f t="shared" si="4"/>
        <v>1</v>
      </c>
    </row>
    <row r="134" ht="15.6" spans="1:7">
      <c r="A134" s="46" t="s">
        <v>381</v>
      </c>
      <c r="B134" s="47" t="s">
        <v>39</v>
      </c>
      <c r="C134" s="45" t="s">
        <v>683</v>
      </c>
      <c r="D134" s="45" t="s">
        <v>621</v>
      </c>
      <c r="E134" s="45" t="s">
        <v>17</v>
      </c>
      <c r="F134" s="48" t="s">
        <v>17</v>
      </c>
      <c r="G134" s="45">
        <f t="shared" si="4"/>
        <v>1</v>
      </c>
    </row>
    <row r="135" ht="15.6" spans="1:7">
      <c r="A135" s="46" t="s">
        <v>383</v>
      </c>
      <c r="B135" s="47" t="s">
        <v>39</v>
      </c>
      <c r="C135" s="45" t="s">
        <v>683</v>
      </c>
      <c r="D135" s="45" t="s">
        <v>621</v>
      </c>
      <c r="E135" s="45" t="s">
        <v>11</v>
      </c>
      <c r="F135" s="48" t="s">
        <v>11</v>
      </c>
      <c r="G135" s="45">
        <f t="shared" si="4"/>
        <v>1</v>
      </c>
    </row>
    <row r="136" ht="15.6" spans="1:7">
      <c r="A136" s="46" t="s">
        <v>386</v>
      </c>
      <c r="B136" s="47" t="s">
        <v>39</v>
      </c>
      <c r="C136" s="45" t="s">
        <v>683</v>
      </c>
      <c r="D136" s="45" t="s">
        <v>621</v>
      </c>
      <c r="E136" s="45" t="s">
        <v>26</v>
      </c>
      <c r="F136" s="48" t="s">
        <v>26</v>
      </c>
      <c r="G136" s="45">
        <f t="shared" si="4"/>
        <v>1</v>
      </c>
    </row>
    <row r="137" ht="15.6" spans="1:7">
      <c r="A137" s="46" t="s">
        <v>388</v>
      </c>
      <c r="B137" s="47" t="s">
        <v>39</v>
      </c>
      <c r="C137" s="45" t="s">
        <v>683</v>
      </c>
      <c r="D137" s="45" t="s">
        <v>621</v>
      </c>
      <c r="E137" s="45" t="s">
        <v>11</v>
      </c>
      <c r="F137" s="48" t="s">
        <v>17</v>
      </c>
      <c r="G137" s="45">
        <f t="shared" si="4"/>
        <v>0</v>
      </c>
    </row>
    <row r="138" ht="15.6" spans="1:7">
      <c r="A138" s="46" t="s">
        <v>390</v>
      </c>
      <c r="B138" s="47" t="s">
        <v>39</v>
      </c>
      <c r="C138" s="45" t="s">
        <v>683</v>
      </c>
      <c r="D138" s="45" t="s">
        <v>621</v>
      </c>
      <c r="E138" s="45" t="s">
        <v>17</v>
      </c>
      <c r="F138" s="48" t="s">
        <v>17</v>
      </c>
      <c r="G138" s="45">
        <f t="shared" si="4"/>
        <v>1</v>
      </c>
    </row>
    <row r="139" ht="15.6" spans="1:7">
      <c r="A139" s="46" t="s">
        <v>393</v>
      </c>
      <c r="B139" s="47" t="s">
        <v>39</v>
      </c>
      <c r="C139" s="45" t="s">
        <v>683</v>
      </c>
      <c r="D139" s="45" t="s">
        <v>621</v>
      </c>
      <c r="E139" s="45" t="s">
        <v>11</v>
      </c>
      <c r="F139" s="48" t="s">
        <v>11</v>
      </c>
      <c r="G139" s="45">
        <f t="shared" si="4"/>
        <v>1</v>
      </c>
    </row>
    <row r="140" ht="15.6" spans="1:7">
      <c r="A140" s="46" t="s">
        <v>396</v>
      </c>
      <c r="B140" s="47" t="s">
        <v>39</v>
      </c>
      <c r="C140" s="45" t="s">
        <v>683</v>
      </c>
      <c r="D140" s="45" t="s">
        <v>621</v>
      </c>
      <c r="E140" s="45" t="s">
        <v>17</v>
      </c>
      <c r="F140" s="48" t="s">
        <v>26</v>
      </c>
      <c r="G140" s="45">
        <f t="shared" si="4"/>
        <v>0</v>
      </c>
    </row>
    <row r="141" ht="15.6" spans="1:7">
      <c r="A141" s="46" t="s">
        <v>399</v>
      </c>
      <c r="B141" s="47" t="s">
        <v>69</v>
      </c>
      <c r="C141" s="45" t="s">
        <v>683</v>
      </c>
      <c r="D141" s="45" t="s">
        <v>621</v>
      </c>
      <c r="E141" s="45" t="s">
        <v>17</v>
      </c>
      <c r="F141" s="48" t="s">
        <v>17</v>
      </c>
      <c r="G141" s="45">
        <f t="shared" si="4"/>
        <v>1</v>
      </c>
    </row>
    <row r="142" ht="15.6" spans="1:7">
      <c r="A142" s="46" t="s">
        <v>401</v>
      </c>
      <c r="B142" s="47" t="s">
        <v>69</v>
      </c>
      <c r="C142" s="45" t="s">
        <v>683</v>
      </c>
      <c r="D142" s="45" t="s">
        <v>621</v>
      </c>
      <c r="E142" s="45" t="s">
        <v>30</v>
      </c>
      <c r="F142" s="48" t="s">
        <v>26</v>
      </c>
      <c r="G142" s="45">
        <f t="shared" si="4"/>
        <v>0</v>
      </c>
    </row>
    <row r="143" ht="15.6" spans="1:7">
      <c r="A143" s="46" t="s">
        <v>404</v>
      </c>
      <c r="B143" s="47" t="s">
        <v>69</v>
      </c>
      <c r="C143" s="45" t="s">
        <v>683</v>
      </c>
      <c r="D143" s="45" t="s">
        <v>621</v>
      </c>
      <c r="E143" s="45" t="s">
        <v>26</v>
      </c>
      <c r="F143" s="48" t="s">
        <v>17</v>
      </c>
      <c r="G143" s="45">
        <f t="shared" si="4"/>
        <v>0</v>
      </c>
    </row>
    <row r="144" ht="15.6" spans="1:7">
      <c r="A144" s="46" t="s">
        <v>407</v>
      </c>
      <c r="B144" s="47" t="s">
        <v>69</v>
      </c>
      <c r="C144" s="45" t="s">
        <v>683</v>
      </c>
      <c r="D144" s="45" t="s">
        <v>621</v>
      </c>
      <c r="E144" s="45" t="s">
        <v>11</v>
      </c>
      <c r="F144" s="48" t="s">
        <v>83</v>
      </c>
      <c r="G144" s="45">
        <f t="shared" si="4"/>
        <v>0</v>
      </c>
    </row>
    <row r="145" ht="15.6" spans="1:7">
      <c r="A145" s="46" t="s">
        <v>410</v>
      </c>
      <c r="B145" s="47" t="s">
        <v>69</v>
      </c>
      <c r="C145" s="45" t="s">
        <v>683</v>
      </c>
      <c r="D145" s="45" t="s">
        <v>621</v>
      </c>
      <c r="E145" s="45" t="s">
        <v>11</v>
      </c>
      <c r="F145" s="48" t="s">
        <v>26</v>
      </c>
      <c r="G145" s="45">
        <f t="shared" si="4"/>
        <v>0</v>
      </c>
    </row>
    <row r="146" ht="15.6" spans="1:7">
      <c r="A146" s="46" t="s">
        <v>413</v>
      </c>
      <c r="B146" s="47" t="s">
        <v>69</v>
      </c>
      <c r="C146" s="45" t="s">
        <v>683</v>
      </c>
      <c r="D146" s="45" t="s">
        <v>621</v>
      </c>
      <c r="E146" s="45" t="s">
        <v>30</v>
      </c>
      <c r="F146" s="48" t="s">
        <v>26</v>
      </c>
      <c r="G146" s="45">
        <f t="shared" si="4"/>
        <v>0</v>
      </c>
    </row>
    <row r="147" ht="15.6" spans="1:7">
      <c r="A147" s="46" t="s">
        <v>416</v>
      </c>
      <c r="B147" s="47" t="s">
        <v>69</v>
      </c>
      <c r="C147" s="45" t="s">
        <v>683</v>
      </c>
      <c r="D147" s="45" t="s">
        <v>621</v>
      </c>
      <c r="E147" s="45" t="s">
        <v>30</v>
      </c>
      <c r="F147" s="48" t="s">
        <v>30</v>
      </c>
      <c r="G147" s="45">
        <f t="shared" si="4"/>
        <v>1</v>
      </c>
    </row>
    <row r="148" ht="15.6" spans="1:7">
      <c r="A148" s="46" t="s">
        <v>419</v>
      </c>
      <c r="B148" s="47" t="s">
        <v>69</v>
      </c>
      <c r="C148" s="45" t="s">
        <v>683</v>
      </c>
      <c r="D148" s="45" t="s">
        <v>621</v>
      </c>
      <c r="E148" s="45" t="s">
        <v>11</v>
      </c>
      <c r="F148" s="48" t="s">
        <v>30</v>
      </c>
      <c r="G148" s="45">
        <f t="shared" si="4"/>
        <v>0</v>
      </c>
    </row>
    <row r="149" ht="15.6" spans="1:7">
      <c r="A149" s="46" t="s">
        <v>422</v>
      </c>
      <c r="B149" s="47" t="s">
        <v>69</v>
      </c>
      <c r="C149" s="45" t="s">
        <v>683</v>
      </c>
      <c r="D149" s="45" t="s">
        <v>621</v>
      </c>
      <c r="E149" s="45" t="s">
        <v>11</v>
      </c>
      <c r="F149" s="48" t="s">
        <v>26</v>
      </c>
      <c r="G149" s="45">
        <f t="shared" si="4"/>
        <v>0</v>
      </c>
    </row>
    <row r="150" ht="15.6" spans="1:7">
      <c r="A150" s="46" t="s">
        <v>425</v>
      </c>
      <c r="B150" s="47" t="s">
        <v>69</v>
      </c>
      <c r="C150" s="45" t="s">
        <v>683</v>
      </c>
      <c r="D150" s="45" t="s">
        <v>621</v>
      </c>
      <c r="E150" s="45" t="s">
        <v>30</v>
      </c>
      <c r="F150" s="48" t="s">
        <v>11</v>
      </c>
      <c r="G150" s="45">
        <f t="shared" si="4"/>
        <v>0</v>
      </c>
    </row>
    <row r="151" ht="15.6" spans="1:7">
      <c r="A151" s="46" t="s">
        <v>428</v>
      </c>
      <c r="B151" s="47" t="s">
        <v>69</v>
      </c>
      <c r="C151" s="45" t="s">
        <v>683</v>
      </c>
      <c r="D151" s="45" t="s">
        <v>621</v>
      </c>
      <c r="E151" s="45" t="s">
        <v>26</v>
      </c>
      <c r="F151" s="48" t="s">
        <v>26</v>
      </c>
      <c r="G151" s="45">
        <f t="shared" si="4"/>
        <v>1</v>
      </c>
    </row>
    <row r="152" ht="15.6" spans="1:7">
      <c r="A152" s="46" t="s">
        <v>431</v>
      </c>
      <c r="B152" s="47" t="s">
        <v>69</v>
      </c>
      <c r="C152" s="45" t="s">
        <v>683</v>
      </c>
      <c r="D152" s="45" t="s">
        <v>621</v>
      </c>
      <c r="E152" s="45" t="s">
        <v>30</v>
      </c>
      <c r="F152" s="48" t="s">
        <v>26</v>
      </c>
      <c r="G152" s="45">
        <f t="shared" si="4"/>
        <v>0</v>
      </c>
    </row>
    <row r="153" ht="15.6" spans="1:7">
      <c r="A153" s="46" t="s">
        <v>434</v>
      </c>
      <c r="B153" s="47" t="s">
        <v>69</v>
      </c>
      <c r="C153" s="45" t="s">
        <v>683</v>
      </c>
      <c r="D153" s="45" t="s">
        <v>621</v>
      </c>
      <c r="E153" s="45" t="s">
        <v>17</v>
      </c>
      <c r="F153" s="48" t="s">
        <v>17</v>
      </c>
      <c r="G153" s="45">
        <f t="shared" si="4"/>
        <v>1</v>
      </c>
    </row>
    <row r="154" ht="15.6" spans="1:7">
      <c r="A154" s="46" t="s">
        <v>437</v>
      </c>
      <c r="B154" s="47" t="s">
        <v>69</v>
      </c>
      <c r="C154" s="45" t="s">
        <v>683</v>
      </c>
      <c r="D154" s="45" t="s">
        <v>621</v>
      </c>
      <c r="E154" s="45" t="s">
        <v>26</v>
      </c>
      <c r="F154" s="48" t="s">
        <v>26</v>
      </c>
      <c r="G154" s="45">
        <f t="shared" si="4"/>
        <v>1</v>
      </c>
    </row>
    <row r="155" ht="15.6" spans="1:7">
      <c r="A155" s="46" t="s">
        <v>440</v>
      </c>
      <c r="B155" s="47" t="s">
        <v>69</v>
      </c>
      <c r="C155" s="45" t="s">
        <v>683</v>
      </c>
      <c r="D155" s="45" t="s">
        <v>621</v>
      </c>
      <c r="E155" s="45" t="s">
        <v>17</v>
      </c>
      <c r="F155" s="48" t="s">
        <v>30</v>
      </c>
      <c r="G155" s="45">
        <f t="shared" si="4"/>
        <v>0</v>
      </c>
    </row>
    <row r="156" ht="15.6" spans="1:7">
      <c r="A156" s="50" t="s">
        <v>443</v>
      </c>
      <c r="B156" s="51" t="s">
        <v>69</v>
      </c>
      <c r="C156" s="45" t="s">
        <v>683</v>
      </c>
      <c r="D156" s="45" t="s">
        <v>621</v>
      </c>
      <c r="E156" s="45" t="s">
        <v>26</v>
      </c>
      <c r="F156" s="52" t="s">
        <v>26</v>
      </c>
      <c r="G156" s="45">
        <f t="shared" si="4"/>
        <v>1</v>
      </c>
    </row>
    <row r="157" ht="15.6" spans="1:7">
      <c r="A157" s="21" t="s">
        <v>446</v>
      </c>
      <c r="B157" s="21" t="s">
        <v>135</v>
      </c>
      <c r="C157" s="45" t="s">
        <v>683</v>
      </c>
      <c r="D157" s="21" t="s">
        <v>626</v>
      </c>
      <c r="E157" s="42">
        <v>-2</v>
      </c>
      <c r="F157" s="42">
        <v>-2</v>
      </c>
      <c r="G157" s="43">
        <v>1</v>
      </c>
    </row>
    <row r="158" ht="15.6" spans="1:7">
      <c r="A158" s="21" t="s">
        <v>449</v>
      </c>
      <c r="B158" s="21" t="s">
        <v>135</v>
      </c>
      <c r="C158" s="45" t="s">
        <v>683</v>
      </c>
      <c r="D158" s="21" t="s">
        <v>626</v>
      </c>
      <c r="E158" s="42" t="s">
        <v>451</v>
      </c>
      <c r="F158" s="42" t="s">
        <v>451</v>
      </c>
      <c r="G158" s="43">
        <v>1</v>
      </c>
    </row>
    <row r="159" ht="15.6" spans="1:7">
      <c r="A159" s="21" t="s">
        <v>452</v>
      </c>
      <c r="B159" s="21" t="s">
        <v>135</v>
      </c>
      <c r="C159" s="45" t="s">
        <v>683</v>
      </c>
      <c r="D159" s="21" t="s">
        <v>626</v>
      </c>
      <c r="E159" s="44" t="s">
        <v>630</v>
      </c>
      <c r="F159" s="44" t="s">
        <v>630</v>
      </c>
      <c r="G159" s="43">
        <v>1</v>
      </c>
    </row>
    <row r="160" ht="15.6" spans="1:7">
      <c r="A160" s="21" t="s">
        <v>455</v>
      </c>
      <c r="B160" s="21" t="s">
        <v>135</v>
      </c>
      <c r="C160" s="45" t="s">
        <v>683</v>
      </c>
      <c r="D160" s="21" t="s">
        <v>626</v>
      </c>
      <c r="E160" s="42" t="s">
        <v>457</v>
      </c>
      <c r="F160" s="42" t="s">
        <v>457</v>
      </c>
      <c r="G160" s="43">
        <v>1</v>
      </c>
    </row>
    <row r="161" ht="15.6" spans="1:7">
      <c r="A161" s="21" t="s">
        <v>458</v>
      </c>
      <c r="B161" s="21" t="s">
        <v>135</v>
      </c>
      <c r="C161" s="45" t="s">
        <v>683</v>
      </c>
      <c r="D161" s="21" t="s">
        <v>626</v>
      </c>
      <c r="E161" s="44" t="s">
        <v>460</v>
      </c>
      <c r="F161" s="44" t="s">
        <v>460</v>
      </c>
      <c r="G161" s="43">
        <v>1</v>
      </c>
    </row>
    <row r="162" ht="15.6" spans="1:7">
      <c r="A162" s="21" t="s">
        <v>461</v>
      </c>
      <c r="B162" s="21" t="s">
        <v>135</v>
      </c>
      <c r="C162" s="45" t="s">
        <v>683</v>
      </c>
      <c r="D162" s="21" t="s">
        <v>626</v>
      </c>
      <c r="E162" s="42" t="s">
        <v>463</v>
      </c>
      <c r="F162" s="42" t="s">
        <v>463</v>
      </c>
      <c r="G162" s="43">
        <v>1</v>
      </c>
    </row>
    <row r="163" ht="15.6" spans="1:7">
      <c r="A163" s="21" t="s">
        <v>464</v>
      </c>
      <c r="B163" s="21" t="s">
        <v>135</v>
      </c>
      <c r="C163" s="45" t="s">
        <v>683</v>
      </c>
      <c r="D163" s="21" t="s">
        <v>626</v>
      </c>
      <c r="E163" s="42" t="s">
        <v>684</v>
      </c>
      <c r="F163" s="42" t="s">
        <v>466</v>
      </c>
      <c r="G163" s="43">
        <v>1</v>
      </c>
    </row>
    <row r="164" ht="15.6" spans="1:7">
      <c r="A164" s="21" t="s">
        <v>467</v>
      </c>
      <c r="B164" s="21" t="s">
        <v>135</v>
      </c>
      <c r="C164" s="45" t="s">
        <v>683</v>
      </c>
      <c r="D164" s="21" t="s">
        <v>626</v>
      </c>
      <c r="E164" s="42" t="s">
        <v>685</v>
      </c>
      <c r="F164" s="42" t="s">
        <v>469</v>
      </c>
      <c r="G164" s="43">
        <v>1</v>
      </c>
    </row>
    <row r="165" ht="15.6" spans="1:7">
      <c r="A165" s="21" t="s">
        <v>470</v>
      </c>
      <c r="B165" s="21" t="s">
        <v>135</v>
      </c>
      <c r="C165" s="45" t="s">
        <v>683</v>
      </c>
      <c r="D165" s="21" t="s">
        <v>626</v>
      </c>
      <c r="E165" s="42" t="s">
        <v>472</v>
      </c>
      <c r="F165" s="42" t="s">
        <v>472</v>
      </c>
      <c r="G165" s="43">
        <v>1</v>
      </c>
    </row>
    <row r="166" ht="46.8" spans="1:7">
      <c r="A166" s="21" t="s">
        <v>473</v>
      </c>
      <c r="B166" s="21" t="s">
        <v>135</v>
      </c>
      <c r="C166" s="45" t="s">
        <v>683</v>
      </c>
      <c r="D166" s="21" t="s">
        <v>626</v>
      </c>
      <c r="E166" s="42" t="s">
        <v>686</v>
      </c>
      <c r="F166" s="42" t="s">
        <v>475</v>
      </c>
      <c r="G166" s="43">
        <v>1</v>
      </c>
    </row>
    <row r="167" ht="15.6" spans="1:7">
      <c r="A167" s="21" t="s">
        <v>476</v>
      </c>
      <c r="B167" s="21" t="s">
        <v>135</v>
      </c>
      <c r="C167" s="45" t="s">
        <v>683</v>
      </c>
      <c r="D167" s="21" t="s">
        <v>626</v>
      </c>
      <c r="E167" s="42">
        <v>-2</v>
      </c>
      <c r="F167" s="42">
        <v>-2</v>
      </c>
      <c r="G167" s="43">
        <v>1</v>
      </c>
    </row>
    <row r="168" ht="15.6" spans="1:7">
      <c r="A168" s="21" t="s">
        <v>478</v>
      </c>
      <c r="B168" s="21" t="s">
        <v>135</v>
      </c>
      <c r="C168" s="45" t="s">
        <v>683</v>
      </c>
      <c r="D168" s="21" t="s">
        <v>626</v>
      </c>
      <c r="E168" s="42" t="s">
        <v>480</v>
      </c>
      <c r="F168" s="42" t="s">
        <v>480</v>
      </c>
      <c r="G168" s="43">
        <v>1</v>
      </c>
    </row>
    <row r="169" ht="31.2" spans="1:7">
      <c r="A169" s="21" t="s">
        <v>481</v>
      </c>
      <c r="B169" s="21" t="s">
        <v>135</v>
      </c>
      <c r="C169" s="45" t="s">
        <v>683</v>
      </c>
      <c r="D169" s="21" t="s">
        <v>626</v>
      </c>
      <c r="E169" s="42" t="s">
        <v>687</v>
      </c>
      <c r="F169" s="42" t="s">
        <v>483</v>
      </c>
      <c r="G169" s="43">
        <v>1</v>
      </c>
    </row>
    <row r="170" ht="15.6" spans="1:7">
      <c r="A170" s="21" t="s">
        <v>484</v>
      </c>
      <c r="B170" s="21" t="s">
        <v>135</v>
      </c>
      <c r="C170" s="45" t="s">
        <v>683</v>
      </c>
      <c r="D170" s="21" t="s">
        <v>626</v>
      </c>
      <c r="E170" s="42" t="s">
        <v>632</v>
      </c>
      <c r="F170" s="42">
        <v>504</v>
      </c>
      <c r="G170" s="43">
        <v>1</v>
      </c>
    </row>
    <row r="171" ht="15.6" spans="1:7">
      <c r="A171" s="21" t="s">
        <v>486</v>
      </c>
      <c r="B171" s="21" t="s">
        <v>135</v>
      </c>
      <c r="C171" s="45" t="s">
        <v>683</v>
      </c>
      <c r="D171" s="21" t="s">
        <v>626</v>
      </c>
      <c r="E171" s="42" t="s">
        <v>488</v>
      </c>
      <c r="F171" s="42" t="s">
        <v>488</v>
      </c>
      <c r="G171" s="45">
        <v>1</v>
      </c>
    </row>
    <row r="172" ht="15.6" spans="1:7">
      <c r="A172" s="21" t="s">
        <v>489</v>
      </c>
      <c r="B172" s="21" t="s">
        <v>135</v>
      </c>
      <c r="C172" s="45" t="s">
        <v>683</v>
      </c>
      <c r="D172" s="21" t="s">
        <v>626</v>
      </c>
      <c r="E172" s="42" t="s">
        <v>491</v>
      </c>
      <c r="F172" s="42" t="s">
        <v>491</v>
      </c>
      <c r="G172" s="43">
        <v>1</v>
      </c>
    </row>
    <row r="173" ht="15.6" spans="1:7">
      <c r="A173" s="21" t="s">
        <v>492</v>
      </c>
      <c r="B173" s="21" t="s">
        <v>135</v>
      </c>
      <c r="C173" s="45" t="s">
        <v>683</v>
      </c>
      <c r="D173" s="21" t="s">
        <v>626</v>
      </c>
      <c r="E173" s="42">
        <v>6298.56</v>
      </c>
      <c r="F173" s="42">
        <v>6298.56</v>
      </c>
      <c r="G173" s="43">
        <v>1</v>
      </c>
    </row>
    <row r="174" ht="15.6" spans="1:7">
      <c r="A174" s="21" t="s">
        <v>494</v>
      </c>
      <c r="B174" s="21" t="s">
        <v>135</v>
      </c>
      <c r="C174" s="45" t="s">
        <v>683</v>
      </c>
      <c r="D174" s="21" t="s">
        <v>626</v>
      </c>
      <c r="E174" s="42" t="s">
        <v>496</v>
      </c>
      <c r="F174" s="42" t="s">
        <v>496</v>
      </c>
      <c r="G174" s="43">
        <v>1</v>
      </c>
    </row>
    <row r="175" ht="15.6" spans="1:7">
      <c r="A175" s="21" t="s">
        <v>497</v>
      </c>
      <c r="B175" s="21" t="s">
        <v>135</v>
      </c>
      <c r="C175" s="45" t="s">
        <v>683</v>
      </c>
      <c r="D175" s="21" t="s">
        <v>626</v>
      </c>
      <c r="E175" s="53" t="s">
        <v>688</v>
      </c>
      <c r="F175" s="42" t="s">
        <v>633</v>
      </c>
      <c r="G175" s="43">
        <v>1</v>
      </c>
    </row>
    <row r="176" ht="15.6" spans="1:7">
      <c r="A176" s="21" t="s">
        <v>500</v>
      </c>
      <c r="B176" s="21" t="s">
        <v>135</v>
      </c>
      <c r="C176" s="45" t="s">
        <v>683</v>
      </c>
      <c r="D176" s="21" t="s">
        <v>626</v>
      </c>
      <c r="E176" s="42" t="s">
        <v>665</v>
      </c>
      <c r="F176" s="42">
        <v>4</v>
      </c>
      <c r="G176" s="43">
        <v>1</v>
      </c>
    </row>
    <row r="177" ht="31.2" spans="1:7">
      <c r="A177" s="21" t="s">
        <v>502</v>
      </c>
      <c r="B177" s="21" t="s">
        <v>135</v>
      </c>
      <c r="C177" s="45" t="s">
        <v>683</v>
      </c>
      <c r="D177" s="21" t="s">
        <v>626</v>
      </c>
      <c r="E177" s="42" t="s">
        <v>689</v>
      </c>
      <c r="F177" s="42" t="s">
        <v>635</v>
      </c>
      <c r="G177" s="43">
        <v>0</v>
      </c>
    </row>
    <row r="178" ht="31.2" spans="1:7">
      <c r="A178" s="21" t="s">
        <v>505</v>
      </c>
      <c r="B178" s="21" t="s">
        <v>135</v>
      </c>
      <c r="C178" s="45" t="s">
        <v>683</v>
      </c>
      <c r="D178" s="21" t="s">
        <v>626</v>
      </c>
      <c r="E178" s="42" t="s">
        <v>507</v>
      </c>
      <c r="F178" s="42" t="s">
        <v>507</v>
      </c>
      <c r="G178" s="43">
        <v>1</v>
      </c>
    </row>
    <row r="179" ht="15.6" spans="1:7">
      <c r="A179" s="21" t="s">
        <v>508</v>
      </c>
      <c r="B179" s="21" t="s">
        <v>135</v>
      </c>
      <c r="C179" s="45" t="s">
        <v>683</v>
      </c>
      <c r="D179" s="21" t="s">
        <v>626</v>
      </c>
      <c r="E179" s="42" t="s">
        <v>645</v>
      </c>
      <c r="F179" s="42" t="s">
        <v>510</v>
      </c>
      <c r="G179" s="43">
        <v>0</v>
      </c>
    </row>
    <row r="180" ht="15.6" spans="1:7">
      <c r="A180" s="21" t="s">
        <v>511</v>
      </c>
      <c r="B180" s="21" t="s">
        <v>135</v>
      </c>
      <c r="C180" s="45" t="s">
        <v>683</v>
      </c>
      <c r="D180" s="21" t="s">
        <v>626</v>
      </c>
      <c r="E180" s="44" t="s">
        <v>690</v>
      </c>
      <c r="F180" s="44" t="s">
        <v>513</v>
      </c>
      <c r="G180" s="43">
        <v>0</v>
      </c>
    </row>
    <row r="181" ht="15.6" spans="1:7">
      <c r="A181" s="21" t="s">
        <v>514</v>
      </c>
      <c r="B181" s="21" t="s">
        <v>135</v>
      </c>
      <c r="C181" s="45" t="s">
        <v>683</v>
      </c>
      <c r="D181" s="21" t="s">
        <v>626</v>
      </c>
      <c r="E181" s="44" t="s">
        <v>516</v>
      </c>
      <c r="F181" s="44" t="s">
        <v>516</v>
      </c>
      <c r="G181" s="43">
        <v>1</v>
      </c>
    </row>
    <row r="182" ht="46.8" spans="1:7">
      <c r="A182" s="21" t="s">
        <v>517</v>
      </c>
      <c r="B182" s="21" t="s">
        <v>135</v>
      </c>
      <c r="C182" s="45" t="s">
        <v>683</v>
      </c>
      <c r="D182" s="21" t="s">
        <v>626</v>
      </c>
      <c r="E182" s="42" t="s">
        <v>691</v>
      </c>
      <c r="F182" s="42" t="s">
        <v>519</v>
      </c>
      <c r="G182" s="43">
        <v>0</v>
      </c>
    </row>
    <row r="183" ht="15.6" spans="1:7">
      <c r="A183" s="21" t="s">
        <v>520</v>
      </c>
      <c r="B183" s="21" t="s">
        <v>135</v>
      </c>
      <c r="C183" s="45" t="s">
        <v>683</v>
      </c>
      <c r="D183" s="21" t="s">
        <v>626</v>
      </c>
      <c r="E183" s="44" t="s">
        <v>522</v>
      </c>
      <c r="F183" s="44" t="s">
        <v>522</v>
      </c>
      <c r="G183" s="43">
        <v>1</v>
      </c>
    </row>
    <row r="184" ht="15.6" spans="1:7">
      <c r="A184" s="21" t="s">
        <v>523</v>
      </c>
      <c r="B184" s="21" t="s">
        <v>135</v>
      </c>
      <c r="C184" s="45" t="s">
        <v>683</v>
      </c>
      <c r="D184" s="21" t="s">
        <v>626</v>
      </c>
      <c r="E184" s="42" t="s">
        <v>639</v>
      </c>
      <c r="F184" s="42">
        <v>22</v>
      </c>
      <c r="G184" s="43">
        <v>1</v>
      </c>
    </row>
    <row r="185" ht="15.6" spans="1:7">
      <c r="A185" s="21" t="s">
        <v>525</v>
      </c>
      <c r="B185" s="21" t="s">
        <v>135</v>
      </c>
      <c r="C185" s="45" t="s">
        <v>683</v>
      </c>
      <c r="D185" s="21" t="s">
        <v>626</v>
      </c>
      <c r="E185" s="42" t="s">
        <v>527</v>
      </c>
      <c r="F185" s="42" t="s">
        <v>527</v>
      </c>
      <c r="G185" s="43">
        <v>1</v>
      </c>
    </row>
    <row r="186" ht="15.6" spans="1:7">
      <c r="A186" s="21" t="s">
        <v>528</v>
      </c>
      <c r="B186" s="21" t="s">
        <v>135</v>
      </c>
      <c r="C186" s="45" t="s">
        <v>683</v>
      </c>
      <c r="D186" s="21" t="s">
        <v>626</v>
      </c>
      <c r="E186" s="42" t="s">
        <v>530</v>
      </c>
      <c r="F186" s="42" t="s">
        <v>530</v>
      </c>
      <c r="G186" s="43">
        <v>1</v>
      </c>
    </row>
    <row r="187" ht="15.6" spans="1:7">
      <c r="A187" s="21" t="s">
        <v>531</v>
      </c>
      <c r="B187" s="21" t="s">
        <v>135</v>
      </c>
      <c r="C187" s="45" t="s">
        <v>683</v>
      </c>
      <c r="D187" s="21" t="s">
        <v>626</v>
      </c>
      <c r="E187" s="44" t="s">
        <v>692</v>
      </c>
      <c r="F187" s="44" t="s">
        <v>669</v>
      </c>
      <c r="G187" s="43">
        <v>1</v>
      </c>
    </row>
    <row r="188" ht="15.6" spans="1:7">
      <c r="A188" s="21" t="s">
        <v>534</v>
      </c>
      <c r="B188" s="21" t="s">
        <v>135</v>
      </c>
      <c r="C188" s="45" t="s">
        <v>683</v>
      </c>
      <c r="D188" s="21" t="s">
        <v>626</v>
      </c>
      <c r="E188" s="44" t="s">
        <v>640</v>
      </c>
      <c r="F188" s="44" t="s">
        <v>640</v>
      </c>
      <c r="G188" s="43">
        <v>1</v>
      </c>
    </row>
    <row r="189" ht="15.6" spans="1:7">
      <c r="A189" s="21" t="s">
        <v>537</v>
      </c>
      <c r="B189" s="21" t="s">
        <v>135</v>
      </c>
      <c r="C189" s="45" t="s">
        <v>683</v>
      </c>
      <c r="D189" s="21" t="s">
        <v>626</v>
      </c>
      <c r="E189" s="42" t="s">
        <v>693</v>
      </c>
      <c r="F189" s="44" t="s">
        <v>539</v>
      </c>
      <c r="G189" s="43">
        <v>0</v>
      </c>
    </row>
    <row r="190" ht="15.6" spans="1:7">
      <c r="A190" s="21" t="s">
        <v>540</v>
      </c>
      <c r="B190" s="21" t="s">
        <v>135</v>
      </c>
      <c r="C190" s="45" t="s">
        <v>683</v>
      </c>
      <c r="D190" s="21" t="s">
        <v>626</v>
      </c>
      <c r="E190" s="42" t="s">
        <v>672</v>
      </c>
      <c r="F190" s="42" t="s">
        <v>542</v>
      </c>
      <c r="G190" s="43">
        <v>0</v>
      </c>
    </row>
    <row r="191" ht="15.6" spans="1:7">
      <c r="A191" s="21" t="s">
        <v>543</v>
      </c>
      <c r="B191" s="21" t="s">
        <v>135</v>
      </c>
      <c r="C191" s="45" t="s">
        <v>683</v>
      </c>
      <c r="D191" s="21" t="s">
        <v>626</v>
      </c>
      <c r="E191" s="44" t="s">
        <v>545</v>
      </c>
      <c r="F191" s="44" t="s">
        <v>545</v>
      </c>
      <c r="G191" s="43">
        <v>1</v>
      </c>
    </row>
    <row r="192" ht="15.6" spans="1:7">
      <c r="A192" s="21" t="s">
        <v>546</v>
      </c>
      <c r="B192" s="21" t="s">
        <v>135</v>
      </c>
      <c r="C192" s="45" t="s">
        <v>683</v>
      </c>
      <c r="D192" s="21" t="s">
        <v>626</v>
      </c>
      <c r="E192" s="42" t="s">
        <v>674</v>
      </c>
      <c r="F192" s="42" t="s">
        <v>548</v>
      </c>
      <c r="G192" s="43">
        <v>1</v>
      </c>
    </row>
    <row r="193" ht="15.6" spans="1:7">
      <c r="A193" s="21" t="s">
        <v>549</v>
      </c>
      <c r="B193" s="21" t="s">
        <v>135</v>
      </c>
      <c r="C193" s="45" t="s">
        <v>683</v>
      </c>
      <c r="D193" s="21" t="s">
        <v>626</v>
      </c>
      <c r="E193" s="44" t="s">
        <v>551</v>
      </c>
      <c r="F193" s="44" t="s">
        <v>551</v>
      </c>
      <c r="G193" s="43">
        <v>1</v>
      </c>
    </row>
    <row r="194" ht="15.6" spans="1:7">
      <c r="A194" s="21" t="s">
        <v>552</v>
      </c>
      <c r="B194" s="21" t="s">
        <v>135</v>
      </c>
      <c r="C194" s="45" t="s">
        <v>683</v>
      </c>
      <c r="D194" s="21" t="s">
        <v>626</v>
      </c>
      <c r="E194" s="42" t="s">
        <v>554</v>
      </c>
      <c r="F194" s="42" t="s">
        <v>554</v>
      </c>
      <c r="G194" s="43">
        <v>1</v>
      </c>
    </row>
    <row r="195" ht="15.6" spans="1:7">
      <c r="A195" s="21" t="s">
        <v>555</v>
      </c>
      <c r="B195" s="21" t="s">
        <v>135</v>
      </c>
      <c r="C195" s="45" t="s">
        <v>683</v>
      </c>
      <c r="D195" s="21" t="s">
        <v>626</v>
      </c>
      <c r="E195" s="42">
        <v>8</v>
      </c>
      <c r="F195" s="42">
        <v>8</v>
      </c>
      <c r="G195" s="43">
        <v>1</v>
      </c>
    </row>
    <row r="196" ht="15.6" spans="1:7">
      <c r="A196" s="21" t="s">
        <v>557</v>
      </c>
      <c r="B196" s="21" t="s">
        <v>135</v>
      </c>
      <c r="C196" s="45" t="s">
        <v>683</v>
      </c>
      <c r="D196" s="21" t="s">
        <v>626</v>
      </c>
      <c r="E196" s="44" t="s">
        <v>559</v>
      </c>
      <c r="F196" s="44" t="s">
        <v>559</v>
      </c>
      <c r="G196" s="43">
        <v>1</v>
      </c>
    </row>
    <row r="197" ht="15.6" spans="1:7">
      <c r="A197" s="21" t="s">
        <v>560</v>
      </c>
      <c r="B197" s="21" t="s">
        <v>135</v>
      </c>
      <c r="C197" s="45" t="s">
        <v>683</v>
      </c>
      <c r="D197" s="21" t="s">
        <v>626</v>
      </c>
      <c r="E197" s="42" t="s">
        <v>694</v>
      </c>
      <c r="F197" s="42" t="s">
        <v>562</v>
      </c>
      <c r="G197" s="43">
        <v>1</v>
      </c>
    </row>
    <row r="198" ht="15.6" spans="1:7">
      <c r="A198" s="21" t="s">
        <v>563</v>
      </c>
      <c r="B198" s="21" t="s">
        <v>135</v>
      </c>
      <c r="C198" s="45" t="s">
        <v>683</v>
      </c>
      <c r="D198" s="21" t="s">
        <v>626</v>
      </c>
      <c r="E198" s="42" t="s">
        <v>695</v>
      </c>
      <c r="F198" s="42" t="s">
        <v>565</v>
      </c>
      <c r="G198" s="43">
        <v>0</v>
      </c>
    </row>
    <row r="199" ht="15.6" spans="1:7">
      <c r="A199" s="21" t="s">
        <v>566</v>
      </c>
      <c r="B199" s="21" t="s">
        <v>135</v>
      </c>
      <c r="C199" s="45" t="s">
        <v>683</v>
      </c>
      <c r="D199" s="21" t="s">
        <v>626</v>
      </c>
      <c r="E199" s="42" t="s">
        <v>645</v>
      </c>
      <c r="F199" s="42">
        <v>6</v>
      </c>
      <c r="G199" s="43">
        <v>1</v>
      </c>
    </row>
    <row r="200" ht="15.6" spans="1:7">
      <c r="A200" s="21" t="s">
        <v>568</v>
      </c>
      <c r="B200" s="21" t="s">
        <v>135</v>
      </c>
      <c r="C200" s="45" t="s">
        <v>683</v>
      </c>
      <c r="D200" s="21" t="s">
        <v>626</v>
      </c>
      <c r="E200" s="44" t="s">
        <v>570</v>
      </c>
      <c r="F200" s="44" t="s">
        <v>570</v>
      </c>
      <c r="G200" s="43">
        <v>1</v>
      </c>
    </row>
    <row r="201" ht="15.6" spans="1:7">
      <c r="A201" s="21" t="s">
        <v>571</v>
      </c>
      <c r="B201" s="21" t="s">
        <v>135</v>
      </c>
      <c r="C201" s="45" t="s">
        <v>683</v>
      </c>
      <c r="D201" s="21" t="s">
        <v>626</v>
      </c>
      <c r="E201" s="42" t="s">
        <v>573</v>
      </c>
      <c r="F201" s="42" t="s">
        <v>573</v>
      </c>
      <c r="G201" s="43">
        <v>1</v>
      </c>
    </row>
    <row r="202" ht="15.6" spans="1:7">
      <c r="A202" s="21" t="s">
        <v>574</v>
      </c>
      <c r="B202" s="21" t="s">
        <v>135</v>
      </c>
      <c r="C202" s="45" t="s">
        <v>683</v>
      </c>
      <c r="D202" s="21" t="s">
        <v>626</v>
      </c>
      <c r="E202" s="42" t="s">
        <v>576</v>
      </c>
      <c r="F202" s="42" t="s">
        <v>576</v>
      </c>
      <c r="G202" s="43">
        <v>1</v>
      </c>
    </row>
    <row r="203" ht="15.6" spans="1:7">
      <c r="A203" s="21" t="s">
        <v>577</v>
      </c>
      <c r="B203" s="21" t="s">
        <v>135</v>
      </c>
      <c r="C203" s="45" t="s">
        <v>683</v>
      </c>
      <c r="D203" s="21" t="s">
        <v>626</v>
      </c>
      <c r="E203" s="42" t="s">
        <v>675</v>
      </c>
      <c r="F203" s="42" t="s">
        <v>579</v>
      </c>
      <c r="G203" s="43">
        <v>0</v>
      </c>
    </row>
    <row r="204" ht="15.6" spans="1:7">
      <c r="A204" s="21" t="s">
        <v>580</v>
      </c>
      <c r="B204" s="21" t="s">
        <v>135</v>
      </c>
      <c r="C204" s="45" t="s">
        <v>683</v>
      </c>
      <c r="D204" s="21" t="s">
        <v>626</v>
      </c>
      <c r="E204" s="42" t="s">
        <v>582</v>
      </c>
      <c r="F204" s="42" t="s">
        <v>582</v>
      </c>
      <c r="G204" s="43">
        <v>1</v>
      </c>
    </row>
    <row r="205" ht="15.6" spans="1:7">
      <c r="A205" s="21" t="s">
        <v>583</v>
      </c>
      <c r="B205" s="21" t="s">
        <v>135</v>
      </c>
      <c r="C205" s="45" t="s">
        <v>683</v>
      </c>
      <c r="D205" s="21" t="s">
        <v>626</v>
      </c>
      <c r="E205" s="42" t="s">
        <v>585</v>
      </c>
      <c r="F205" s="42" t="s">
        <v>585</v>
      </c>
      <c r="G205" s="43">
        <v>1</v>
      </c>
    </row>
    <row r="206" ht="62.4" spans="1:7">
      <c r="A206" s="21" t="s">
        <v>586</v>
      </c>
      <c r="B206" s="21" t="s">
        <v>135</v>
      </c>
      <c r="C206" s="45" t="s">
        <v>683</v>
      </c>
      <c r="D206" s="21" t="s">
        <v>626</v>
      </c>
      <c r="E206" s="25" t="s">
        <v>696</v>
      </c>
      <c r="F206" s="42" t="s">
        <v>649</v>
      </c>
      <c r="G206" s="43">
        <v>1</v>
      </c>
    </row>
    <row r="207" ht="15.6" spans="1:7">
      <c r="A207" s="21" t="s">
        <v>589</v>
      </c>
      <c r="B207" s="21" t="s">
        <v>135</v>
      </c>
      <c r="C207" s="45" t="s">
        <v>683</v>
      </c>
      <c r="D207" s="21" t="s">
        <v>626</v>
      </c>
      <c r="E207" s="42" t="s">
        <v>591</v>
      </c>
      <c r="F207" s="42" t="s">
        <v>591</v>
      </c>
      <c r="G207" s="43">
        <v>1</v>
      </c>
    </row>
    <row r="208" ht="15.6" spans="1:7">
      <c r="A208" s="21" t="s">
        <v>592</v>
      </c>
      <c r="B208" s="21" t="s">
        <v>135</v>
      </c>
      <c r="C208" s="45" t="s">
        <v>683</v>
      </c>
      <c r="D208" s="21" t="s">
        <v>626</v>
      </c>
      <c r="E208" s="42" t="s">
        <v>582</v>
      </c>
      <c r="F208" s="42" t="s">
        <v>582</v>
      </c>
      <c r="G208" s="43">
        <v>1</v>
      </c>
    </row>
    <row r="209" ht="15.6" spans="1:7">
      <c r="A209" s="21" t="s">
        <v>594</v>
      </c>
      <c r="B209" s="21" t="s">
        <v>135</v>
      </c>
      <c r="C209" s="45" t="s">
        <v>683</v>
      </c>
      <c r="D209" s="21" t="s">
        <v>626</v>
      </c>
      <c r="E209" s="21" t="s">
        <v>596</v>
      </c>
      <c r="F209" s="21" t="s">
        <v>596</v>
      </c>
      <c r="G209" s="43">
        <v>1</v>
      </c>
    </row>
    <row r="210" ht="15.6" spans="1:7">
      <c r="A210" s="21" t="s">
        <v>597</v>
      </c>
      <c r="B210" s="21" t="s">
        <v>135</v>
      </c>
      <c r="C210" s="45" t="s">
        <v>683</v>
      </c>
      <c r="D210" s="21" t="s">
        <v>626</v>
      </c>
      <c r="E210" s="42" t="s">
        <v>530</v>
      </c>
      <c r="F210" s="42" t="s">
        <v>530</v>
      </c>
      <c r="G210" s="43">
        <v>1</v>
      </c>
    </row>
    <row r="211" ht="15.6" spans="1:7">
      <c r="A211" s="21" t="s">
        <v>599</v>
      </c>
      <c r="B211" s="21" t="s">
        <v>135</v>
      </c>
      <c r="C211" s="45" t="s">
        <v>683</v>
      </c>
      <c r="D211" s="21" t="s">
        <v>626</v>
      </c>
      <c r="E211" s="42" t="s">
        <v>651</v>
      </c>
      <c r="F211" s="42" t="s">
        <v>601</v>
      </c>
      <c r="G211" s="43">
        <v>1</v>
      </c>
    </row>
    <row r="212" ht="15.6" spans="1:7">
      <c r="A212" s="21" t="s">
        <v>602</v>
      </c>
      <c r="B212" s="21" t="s">
        <v>135</v>
      </c>
      <c r="C212" s="45" t="s">
        <v>683</v>
      </c>
      <c r="D212" s="21" t="s">
        <v>626</v>
      </c>
      <c r="E212" s="42" t="s">
        <v>582</v>
      </c>
      <c r="F212" s="42" t="s">
        <v>582</v>
      </c>
      <c r="G212" s="43">
        <v>1</v>
      </c>
    </row>
    <row r="213" ht="31.2" spans="1:7">
      <c r="A213" s="21" t="s">
        <v>604</v>
      </c>
      <c r="B213" s="21" t="s">
        <v>135</v>
      </c>
      <c r="C213" s="45" t="s">
        <v>683</v>
      </c>
      <c r="D213" s="21" t="s">
        <v>626</v>
      </c>
      <c r="E213" s="42" t="s">
        <v>697</v>
      </c>
      <c r="F213" s="42" t="s">
        <v>652</v>
      </c>
      <c r="G213" s="43">
        <v>1</v>
      </c>
    </row>
    <row r="214" ht="15.6" spans="1:7">
      <c r="A214" s="21" t="s">
        <v>607</v>
      </c>
      <c r="B214" s="21" t="s">
        <v>135</v>
      </c>
      <c r="C214" s="45" t="s">
        <v>683</v>
      </c>
      <c r="D214" s="21" t="s">
        <v>626</v>
      </c>
      <c r="E214" s="42" t="s">
        <v>609</v>
      </c>
      <c r="F214" s="42" t="s">
        <v>609</v>
      </c>
      <c r="G214" s="43">
        <v>1</v>
      </c>
    </row>
    <row r="215" ht="15.6" spans="1:7">
      <c r="A215" s="21" t="s">
        <v>610</v>
      </c>
      <c r="B215" s="21" t="s">
        <v>135</v>
      </c>
      <c r="C215" s="45" t="s">
        <v>683</v>
      </c>
      <c r="D215" s="21" t="s">
        <v>626</v>
      </c>
      <c r="E215" s="42" t="s">
        <v>612</v>
      </c>
      <c r="F215" s="42" t="s">
        <v>612</v>
      </c>
      <c r="G215" s="45">
        <v>1</v>
      </c>
    </row>
    <row r="216" ht="15.6" spans="1:7">
      <c r="A216" s="21" t="s">
        <v>613</v>
      </c>
      <c r="B216" s="21" t="s">
        <v>135</v>
      </c>
      <c r="C216" s="45" t="s">
        <v>683</v>
      </c>
      <c r="D216" s="21" t="s">
        <v>626</v>
      </c>
      <c r="E216" s="42" t="s">
        <v>615</v>
      </c>
      <c r="F216" s="42" t="s">
        <v>615</v>
      </c>
      <c r="G216" s="43">
        <v>1</v>
      </c>
    </row>
  </sheetData>
  <mergeCells count="1">
    <mergeCell ref="J9:J10"/>
  </mergeCells>
  <pageMargins left="0.75" right="0.75" top="1" bottom="1" header="0.5" footer="0.5"/>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16"/>
  <sheetViews>
    <sheetView zoomScale="80" zoomScaleNormal="80" workbookViewId="0">
      <selection activeCell="A1" sqref="A$1:G$1048576"/>
    </sheetView>
  </sheetViews>
  <sheetFormatPr defaultColWidth="9" defaultRowHeight="15.6"/>
  <cols>
    <col min="1" max="1" width="17.5555555555556" style="21" customWidth="1"/>
    <col min="2" max="2" width="12.4444444444444" style="21" customWidth="1"/>
    <col min="3" max="3" width="12.5555555555556" style="21" customWidth="1"/>
    <col min="4" max="4" width="15.2222222222222" style="21" customWidth="1"/>
    <col min="5" max="6" width="21.1111111111111" style="21" customWidth="1"/>
    <col min="7" max="7" width="10.7777777777778" style="21" customWidth="1"/>
    <col min="8" max="8" width="15.5555555555556" style="21" customWidth="1"/>
    <col min="9" max="9" width="9" style="21"/>
    <col min="10" max="10" width="15.2222222222222" style="21" customWidth="1"/>
    <col min="11" max="12" width="18.5555555555556" style="21" customWidth="1"/>
    <col min="13" max="14" width="21.2222222222222" style="21" customWidth="1"/>
    <col min="15" max="15" width="16.8888888888889" style="21" customWidth="1"/>
    <col min="16" max="16384" width="9" style="21"/>
  </cols>
  <sheetData>
    <row r="1" spans="1:15">
      <c r="A1" s="21" t="s">
        <v>0</v>
      </c>
      <c r="B1" s="21" t="s">
        <v>1</v>
      </c>
      <c r="C1" s="21" t="s">
        <v>616</v>
      </c>
      <c r="D1" s="21" t="s">
        <v>617</v>
      </c>
      <c r="E1" s="21" t="s">
        <v>618</v>
      </c>
      <c r="F1" s="21" t="s">
        <v>6</v>
      </c>
      <c r="G1" s="21" t="s">
        <v>619</v>
      </c>
    </row>
    <row r="2" spans="1:15">
      <c r="A2" s="22" t="s">
        <v>7</v>
      </c>
      <c r="B2" s="23" t="s">
        <v>8</v>
      </c>
      <c r="C2" s="21" t="s">
        <v>698</v>
      </c>
      <c r="D2" s="21" t="s">
        <v>621</v>
      </c>
      <c r="E2" s="21" t="s">
        <v>11</v>
      </c>
      <c r="F2" s="24" t="s">
        <v>11</v>
      </c>
      <c r="G2" s="21">
        <f>IF(E2=F2,1,0)</f>
        <v>1</v>
      </c>
      <c r="I2" s="25"/>
    </row>
    <row r="3" spans="1:15">
      <c r="A3" s="22" t="s">
        <v>12</v>
      </c>
      <c r="B3" s="23" t="s">
        <v>8</v>
      </c>
      <c r="C3" s="21" t="s">
        <v>698</v>
      </c>
      <c r="D3" s="21" t="s">
        <v>621</v>
      </c>
      <c r="E3" s="21" t="s">
        <v>11</v>
      </c>
      <c r="F3" s="24" t="s">
        <v>11</v>
      </c>
      <c r="G3" s="21">
        <f t="shared" ref="G3:G66" si="0">IF(E3=F3,1,0)</f>
        <v>1</v>
      </c>
    </row>
    <row r="4" spans="1:15">
      <c r="A4" s="22" t="s">
        <v>14</v>
      </c>
      <c r="B4" s="23" t="s">
        <v>8</v>
      </c>
      <c r="C4" s="21" t="s">
        <v>698</v>
      </c>
      <c r="D4" s="21" t="s">
        <v>621</v>
      </c>
      <c r="E4" s="21" t="s">
        <v>17</v>
      </c>
      <c r="F4" s="23" t="s">
        <v>17</v>
      </c>
      <c r="G4" s="21">
        <f t="shared" si="0"/>
        <v>1</v>
      </c>
    </row>
    <row r="5" spans="1:15">
      <c r="A5" s="22" t="s">
        <v>18</v>
      </c>
      <c r="B5" s="23" t="s">
        <v>8</v>
      </c>
      <c r="C5" s="21" t="s">
        <v>698</v>
      </c>
      <c r="D5" s="21" t="s">
        <v>621</v>
      </c>
      <c r="E5" s="21" t="s">
        <v>11</v>
      </c>
      <c r="F5" s="23" t="s">
        <v>11</v>
      </c>
      <c r="G5" s="21">
        <f t="shared" si="0"/>
        <v>1</v>
      </c>
      <c r="J5" s="26" t="s">
        <v>617</v>
      </c>
      <c r="K5" s="26" t="s">
        <v>622</v>
      </c>
      <c r="L5" s="26" t="s">
        <v>623</v>
      </c>
      <c r="M5" s="26" t="s">
        <v>624</v>
      </c>
      <c r="N5" s="26" t="s">
        <v>625</v>
      </c>
    </row>
    <row r="6" spans="1:15">
      <c r="A6" s="22" t="s">
        <v>21</v>
      </c>
      <c r="B6" s="23" t="s">
        <v>8</v>
      </c>
      <c r="C6" s="21" t="s">
        <v>698</v>
      </c>
      <c r="D6" s="21" t="s">
        <v>621</v>
      </c>
      <c r="E6" s="21" t="s">
        <v>11</v>
      </c>
      <c r="F6" s="23" t="s">
        <v>11</v>
      </c>
      <c r="G6" s="21">
        <f t="shared" si="0"/>
        <v>1</v>
      </c>
      <c r="J6" s="27" t="s">
        <v>621</v>
      </c>
      <c r="K6" s="28">
        <f>COUNTA(D2:D156)</f>
        <v>155</v>
      </c>
      <c r="L6" s="28">
        <f>SUM(G2:G157)</f>
        <v>129</v>
      </c>
      <c r="M6" s="28">
        <f>K6-L6</f>
        <v>26</v>
      </c>
      <c r="N6" s="29">
        <f>L6/K6</f>
        <v>0.832258064516129</v>
      </c>
    </row>
    <row r="7" spans="1:15">
      <c r="A7" s="22" t="s">
        <v>23</v>
      </c>
      <c r="B7" s="23" t="s">
        <v>8</v>
      </c>
      <c r="C7" s="21" t="s">
        <v>698</v>
      </c>
      <c r="D7" s="21" t="s">
        <v>621</v>
      </c>
      <c r="E7" s="21" t="s">
        <v>26</v>
      </c>
      <c r="F7" s="23" t="s">
        <v>26</v>
      </c>
      <c r="G7" s="21">
        <f t="shared" si="0"/>
        <v>1</v>
      </c>
      <c r="J7" s="30" t="s">
        <v>626</v>
      </c>
      <c r="K7" s="28">
        <f>COUNTA(D157:D216)</f>
        <v>60</v>
      </c>
      <c r="L7" s="28">
        <f>SUM(G157:G217)</f>
        <v>59</v>
      </c>
      <c r="M7" s="28">
        <f>K7-L7</f>
        <v>1</v>
      </c>
      <c r="N7" s="29">
        <f>L7/K7</f>
        <v>0.983333333333333</v>
      </c>
    </row>
    <row r="8" spans="1:15">
      <c r="A8" s="22" t="s">
        <v>27</v>
      </c>
      <c r="B8" s="23" t="s">
        <v>8</v>
      </c>
      <c r="C8" s="21" t="s">
        <v>698</v>
      </c>
      <c r="D8" s="21" t="s">
        <v>621</v>
      </c>
      <c r="E8" s="21" t="s">
        <v>26</v>
      </c>
      <c r="F8" s="24" t="s">
        <v>30</v>
      </c>
      <c r="G8" s="21">
        <f t="shared" si="0"/>
        <v>0</v>
      </c>
    </row>
    <row r="9" spans="1:15">
      <c r="A9" s="22" t="s">
        <v>31</v>
      </c>
      <c r="B9" s="23" t="s">
        <v>8</v>
      </c>
      <c r="C9" s="21" t="s">
        <v>698</v>
      </c>
      <c r="D9" s="21" t="s">
        <v>621</v>
      </c>
      <c r="E9" s="21" t="s">
        <v>11</v>
      </c>
      <c r="F9" s="24" t="s">
        <v>11</v>
      </c>
      <c r="G9" s="21">
        <f t="shared" si="0"/>
        <v>1</v>
      </c>
      <c r="J9" s="31" t="s">
        <v>627</v>
      </c>
      <c r="K9" s="31" t="s">
        <v>617</v>
      </c>
      <c r="L9" s="31" t="s">
        <v>622</v>
      </c>
      <c r="M9" s="31" t="s">
        <v>623</v>
      </c>
      <c r="N9" s="31" t="s">
        <v>624</v>
      </c>
      <c r="O9" s="31" t="s">
        <v>625</v>
      </c>
    </row>
    <row r="10" spans="1:15">
      <c r="A10" s="22" t="s">
        <v>33</v>
      </c>
      <c r="B10" s="23" t="s">
        <v>8</v>
      </c>
      <c r="C10" s="21" t="s">
        <v>698</v>
      </c>
      <c r="D10" s="21" t="s">
        <v>621</v>
      </c>
      <c r="E10" s="21" t="s">
        <v>30</v>
      </c>
      <c r="F10" s="24" t="s">
        <v>30</v>
      </c>
      <c r="G10" s="21">
        <f t="shared" si="0"/>
        <v>1</v>
      </c>
      <c r="J10" s="32" t="s">
        <v>135</v>
      </c>
      <c r="K10" s="33" t="s">
        <v>621</v>
      </c>
      <c r="L10" s="34">
        <f>COUNTIFS(B:B,"Matemātika",D:D,"LV-orig-image")</f>
        <v>16</v>
      </c>
      <c r="M10" s="34">
        <f>SUMIFS(G:G,B:B,"Matemātika",D:D,"LV-orig-image")</f>
        <v>13</v>
      </c>
      <c r="N10" s="34">
        <f t="shared" ref="N10:N15" si="1">L10-M10</f>
        <v>3</v>
      </c>
      <c r="O10" s="35">
        <f>M10/L10</f>
        <v>0.8125</v>
      </c>
    </row>
    <row r="11" spans="1:15">
      <c r="A11" s="22" t="s">
        <v>36</v>
      </c>
      <c r="B11" s="23" t="s">
        <v>8</v>
      </c>
      <c r="C11" s="21" t="s">
        <v>698</v>
      </c>
      <c r="D11" s="21" t="s">
        <v>621</v>
      </c>
      <c r="E11" s="21" t="s">
        <v>17</v>
      </c>
      <c r="F11" s="24" t="s">
        <v>17</v>
      </c>
      <c r="G11" s="21">
        <f t="shared" si="0"/>
        <v>1</v>
      </c>
      <c r="J11" s="32"/>
      <c r="K11" s="36" t="s">
        <v>626</v>
      </c>
      <c r="L11" s="34">
        <f>COUNTIFS(B:B,"Matemātika",D:D,"LV-orig-text")</f>
        <v>60</v>
      </c>
      <c r="M11" s="34">
        <f>SUM(G157:G218)</f>
        <v>59</v>
      </c>
      <c r="N11" s="34">
        <f t="shared" si="1"/>
        <v>1</v>
      </c>
      <c r="O11" s="35">
        <f>M11/L11</f>
        <v>0.983333333333333</v>
      </c>
    </row>
    <row r="12" spans="1:15">
      <c r="A12" s="22" t="s">
        <v>38</v>
      </c>
      <c r="B12" s="23" t="s">
        <v>39</v>
      </c>
      <c r="C12" s="21" t="s">
        <v>698</v>
      </c>
      <c r="D12" s="21" t="s">
        <v>621</v>
      </c>
      <c r="E12" s="21" t="s">
        <v>26</v>
      </c>
      <c r="F12" s="24" t="s">
        <v>26</v>
      </c>
      <c r="G12" s="21">
        <f t="shared" si="0"/>
        <v>1</v>
      </c>
      <c r="J12" s="32" t="s">
        <v>8</v>
      </c>
      <c r="K12" s="33" t="s">
        <v>621</v>
      </c>
      <c r="L12" s="32">
        <f>COUNTIFS(B:B,"Fizika",D:D,"LV-orig-image")</f>
        <v>38</v>
      </c>
      <c r="M12" s="32">
        <f>SUMIFS(G:G,B:B,"Fizika",D:D,"LV-orig-image")</f>
        <v>34</v>
      </c>
      <c r="N12" s="32">
        <f t="shared" si="1"/>
        <v>4</v>
      </c>
      <c r="O12" s="37">
        <f>M12/L12</f>
        <v>0.894736842105263</v>
      </c>
    </row>
    <row r="13" spans="1:15">
      <c r="A13" s="22" t="s">
        <v>42</v>
      </c>
      <c r="B13" s="23" t="s">
        <v>39</v>
      </c>
      <c r="C13" s="21" t="s">
        <v>698</v>
      </c>
      <c r="D13" s="21" t="s">
        <v>621</v>
      </c>
      <c r="E13" s="21" t="s">
        <v>26</v>
      </c>
      <c r="F13" s="24" t="s">
        <v>26</v>
      </c>
      <c r="G13" s="21">
        <f t="shared" si="0"/>
        <v>1</v>
      </c>
      <c r="J13" s="32" t="s">
        <v>39</v>
      </c>
      <c r="K13" s="33" t="s">
        <v>621</v>
      </c>
      <c r="L13" s="32">
        <f>COUNTIFS(B:B,"Ķīmija",D:D,"LV-orig-image")</f>
        <v>32</v>
      </c>
      <c r="M13" s="32">
        <f>SUMIFS(G:G,B:B,"Ķīmija",D:D,"LV-orig-image")</f>
        <v>26</v>
      </c>
      <c r="N13" s="32">
        <f t="shared" si="1"/>
        <v>6</v>
      </c>
      <c r="O13" s="37">
        <f>M13/L13</f>
        <v>0.8125</v>
      </c>
    </row>
    <row r="14" spans="1:15">
      <c r="A14" s="22" t="s">
        <v>44</v>
      </c>
      <c r="B14" s="23" t="s">
        <v>39</v>
      </c>
      <c r="C14" s="21" t="s">
        <v>698</v>
      </c>
      <c r="D14" s="21" t="s">
        <v>621</v>
      </c>
      <c r="E14" s="21" t="s">
        <v>17</v>
      </c>
      <c r="F14" s="24" t="s">
        <v>17</v>
      </c>
      <c r="G14" s="21">
        <f t="shared" si="0"/>
        <v>1</v>
      </c>
      <c r="J14" s="32" t="s">
        <v>69</v>
      </c>
      <c r="K14" s="33" t="s">
        <v>621</v>
      </c>
      <c r="L14" s="32">
        <f>COUNTIFS(B:B,"Bioloģija",D:D,"LV-orig-image")</f>
        <v>49</v>
      </c>
      <c r="M14" s="32">
        <f>SUMIFS(G:G,B:B,"Bioloģija",D:D,"LV-orig-image")</f>
        <v>38</v>
      </c>
      <c r="N14" s="32">
        <f t="shared" si="1"/>
        <v>11</v>
      </c>
      <c r="O14" s="37">
        <f>M14/L14</f>
        <v>0.775510204081633</v>
      </c>
    </row>
    <row r="15" spans="1:15">
      <c r="A15" s="22" t="s">
        <v>46</v>
      </c>
      <c r="B15" s="23" t="s">
        <v>39</v>
      </c>
      <c r="C15" s="21" t="s">
        <v>698</v>
      </c>
      <c r="D15" s="21" t="s">
        <v>621</v>
      </c>
      <c r="E15" s="21" t="s">
        <v>17</v>
      </c>
      <c r="F15" s="24" t="s">
        <v>17</v>
      </c>
      <c r="G15" s="21">
        <f t="shared" si="0"/>
        <v>1</v>
      </c>
      <c r="J15" s="32" t="s">
        <v>113</v>
      </c>
      <c r="K15" s="33" t="s">
        <v>621</v>
      </c>
      <c r="L15" s="32">
        <f>COUNTIFS(B:B,"Ģeogrāfija",D:D,"LV-orig-image")</f>
        <v>20</v>
      </c>
      <c r="M15" s="32">
        <f>SUMIFS(G:G,B:B,"Ģeogrāfija",D:D,"LV-orig-image")</f>
        <v>17</v>
      </c>
      <c r="N15" s="32">
        <f t="shared" si="1"/>
        <v>3</v>
      </c>
      <c r="O15" s="37">
        <f t="shared" ref="O15" si="2">M15/L15</f>
        <v>0.85</v>
      </c>
    </row>
    <row r="16" spans="1:15">
      <c r="A16" s="22" t="s">
        <v>48</v>
      </c>
      <c r="B16" s="23" t="s">
        <v>39</v>
      </c>
      <c r="C16" s="21" t="s">
        <v>698</v>
      </c>
      <c r="D16" s="21" t="s">
        <v>621</v>
      </c>
      <c r="E16" s="21" t="s">
        <v>17</v>
      </c>
      <c r="F16" s="24" t="s">
        <v>17</v>
      </c>
      <c r="G16" s="21">
        <f t="shared" si="0"/>
        <v>1</v>
      </c>
    </row>
    <row r="17" spans="1:7">
      <c r="A17" s="22" t="s">
        <v>51</v>
      </c>
      <c r="B17" s="23" t="s">
        <v>39</v>
      </c>
      <c r="C17" s="21" t="s">
        <v>698</v>
      </c>
      <c r="D17" s="21" t="s">
        <v>621</v>
      </c>
      <c r="E17" s="21" t="s">
        <v>30</v>
      </c>
      <c r="F17" s="24" t="s">
        <v>30</v>
      </c>
      <c r="G17" s="21">
        <f t="shared" si="0"/>
        <v>1</v>
      </c>
    </row>
    <row r="18" spans="1:7">
      <c r="A18" s="22" t="s">
        <v>54</v>
      </c>
      <c r="B18" s="23" t="s">
        <v>39</v>
      </c>
      <c r="C18" s="21" t="s">
        <v>698</v>
      </c>
      <c r="D18" s="21" t="s">
        <v>621</v>
      </c>
      <c r="E18" s="21" t="s">
        <v>11</v>
      </c>
      <c r="F18" s="24" t="s">
        <v>11</v>
      </c>
      <c r="G18" s="21">
        <f t="shared" si="0"/>
        <v>1</v>
      </c>
    </row>
    <row r="19" spans="1:7">
      <c r="A19" s="22" t="s">
        <v>56</v>
      </c>
      <c r="B19" s="23" t="s">
        <v>39</v>
      </c>
      <c r="C19" s="21" t="s">
        <v>698</v>
      </c>
      <c r="D19" s="21" t="s">
        <v>621</v>
      </c>
      <c r="E19" s="21" t="s">
        <v>17</v>
      </c>
      <c r="F19" s="24" t="s">
        <v>17</v>
      </c>
      <c r="G19" s="21">
        <f t="shared" si="0"/>
        <v>1</v>
      </c>
    </row>
    <row r="20" spans="1:7">
      <c r="A20" s="22" t="s">
        <v>59</v>
      </c>
      <c r="B20" s="23" t="s">
        <v>39</v>
      </c>
      <c r="C20" s="21" t="s">
        <v>698</v>
      </c>
      <c r="D20" s="21" t="s">
        <v>621</v>
      </c>
      <c r="E20" s="21" t="s">
        <v>26</v>
      </c>
      <c r="F20" s="24" t="s">
        <v>26</v>
      </c>
      <c r="G20" s="21">
        <f t="shared" si="0"/>
        <v>1</v>
      </c>
    </row>
    <row r="21" spans="1:7">
      <c r="A21" s="22" t="s">
        <v>62</v>
      </c>
      <c r="B21" s="23" t="s">
        <v>39</v>
      </c>
      <c r="C21" s="21" t="s">
        <v>698</v>
      </c>
      <c r="D21" s="21" t="s">
        <v>621</v>
      </c>
      <c r="E21" s="21" t="s">
        <v>17</v>
      </c>
      <c r="F21" s="24" t="s">
        <v>30</v>
      </c>
      <c r="G21" s="21">
        <f t="shared" si="0"/>
        <v>0</v>
      </c>
    </row>
    <row r="22" spans="1:7">
      <c r="A22" s="22" t="s">
        <v>65</v>
      </c>
      <c r="B22" s="23" t="s">
        <v>39</v>
      </c>
      <c r="C22" s="21" t="s">
        <v>698</v>
      </c>
      <c r="D22" s="21" t="s">
        <v>621</v>
      </c>
      <c r="E22" s="21" t="s">
        <v>11</v>
      </c>
      <c r="F22" s="24" t="s">
        <v>11</v>
      </c>
      <c r="G22" s="21">
        <f t="shared" si="0"/>
        <v>1</v>
      </c>
    </row>
    <row r="23" spans="1:7">
      <c r="A23" s="22" t="s">
        <v>68</v>
      </c>
      <c r="B23" s="23" t="s">
        <v>69</v>
      </c>
      <c r="C23" s="21" t="s">
        <v>698</v>
      </c>
      <c r="D23" s="21" t="s">
        <v>621</v>
      </c>
      <c r="E23" s="21" t="s">
        <v>26</v>
      </c>
      <c r="F23" s="24" t="s">
        <v>26</v>
      </c>
      <c r="G23" s="21">
        <f t="shared" si="0"/>
        <v>1</v>
      </c>
    </row>
    <row r="24" spans="1:7">
      <c r="A24" s="22" t="s">
        <v>72</v>
      </c>
      <c r="B24" s="23" t="s">
        <v>69</v>
      </c>
      <c r="C24" s="21" t="s">
        <v>698</v>
      </c>
      <c r="D24" s="21" t="s">
        <v>621</v>
      </c>
      <c r="E24" s="21" t="s">
        <v>11</v>
      </c>
      <c r="F24" s="24" t="s">
        <v>11</v>
      </c>
      <c r="G24" s="21">
        <f t="shared" si="0"/>
        <v>1</v>
      </c>
    </row>
    <row r="25" spans="1:7">
      <c r="A25" s="22" t="s">
        <v>75</v>
      </c>
      <c r="B25" s="23" t="s">
        <v>69</v>
      </c>
      <c r="C25" s="21" t="s">
        <v>698</v>
      </c>
      <c r="D25" s="21" t="s">
        <v>621</v>
      </c>
      <c r="E25" s="21" t="s">
        <v>30</v>
      </c>
      <c r="F25" s="24" t="s">
        <v>30</v>
      </c>
      <c r="G25" s="21">
        <f t="shared" si="0"/>
        <v>1</v>
      </c>
    </row>
    <row r="26" spans="1:7">
      <c r="A26" s="22" t="s">
        <v>78</v>
      </c>
      <c r="B26" s="23" t="s">
        <v>69</v>
      </c>
      <c r="C26" s="21" t="s">
        <v>698</v>
      </c>
      <c r="D26" s="21" t="s">
        <v>621</v>
      </c>
      <c r="E26" s="21" t="s">
        <v>11</v>
      </c>
      <c r="F26" s="24" t="s">
        <v>30</v>
      </c>
      <c r="G26" s="21">
        <f t="shared" si="0"/>
        <v>0</v>
      </c>
    </row>
    <row r="27" spans="1:7">
      <c r="A27" s="22" t="s">
        <v>81</v>
      </c>
      <c r="B27" s="23" t="s">
        <v>69</v>
      </c>
      <c r="C27" s="21" t="s">
        <v>698</v>
      </c>
      <c r="D27" s="21" t="s">
        <v>621</v>
      </c>
      <c r="E27" s="21" t="s">
        <v>11</v>
      </c>
      <c r="F27" s="24" t="s">
        <v>11</v>
      </c>
      <c r="G27" s="21">
        <f t="shared" si="0"/>
        <v>1</v>
      </c>
    </row>
    <row r="28" spans="1:7">
      <c r="A28" s="22" t="s">
        <v>84</v>
      </c>
      <c r="B28" s="23" t="s">
        <v>69</v>
      </c>
      <c r="C28" s="21" t="s">
        <v>698</v>
      </c>
      <c r="D28" s="21" t="s">
        <v>621</v>
      </c>
      <c r="E28" s="21" t="s">
        <v>11</v>
      </c>
      <c r="F28" s="24" t="s">
        <v>11</v>
      </c>
      <c r="G28" s="21">
        <f t="shared" si="0"/>
        <v>1</v>
      </c>
    </row>
    <row r="29" spans="1:7">
      <c r="A29" s="22" t="s">
        <v>86</v>
      </c>
      <c r="B29" s="23" t="s">
        <v>69</v>
      </c>
      <c r="C29" s="21" t="s">
        <v>698</v>
      </c>
      <c r="D29" s="21" t="s">
        <v>621</v>
      </c>
      <c r="E29" s="21" t="s">
        <v>26</v>
      </c>
      <c r="F29" s="24" t="s">
        <v>83</v>
      </c>
      <c r="G29" s="21">
        <f t="shared" si="0"/>
        <v>0</v>
      </c>
    </row>
    <row r="30" spans="1:7">
      <c r="A30" s="22" t="s">
        <v>89</v>
      </c>
      <c r="B30" s="23" t="s">
        <v>69</v>
      </c>
      <c r="C30" s="21" t="s">
        <v>698</v>
      </c>
      <c r="D30" s="21" t="s">
        <v>621</v>
      </c>
      <c r="E30" s="21" t="s">
        <v>30</v>
      </c>
      <c r="F30" s="24" t="s">
        <v>30</v>
      </c>
      <c r="G30" s="21">
        <f t="shared" si="0"/>
        <v>1</v>
      </c>
    </row>
    <row r="31" spans="1:7">
      <c r="A31" s="22" t="s">
        <v>92</v>
      </c>
      <c r="B31" s="23" t="s">
        <v>69</v>
      </c>
      <c r="C31" s="21" t="s">
        <v>698</v>
      </c>
      <c r="D31" s="21" t="s">
        <v>621</v>
      </c>
      <c r="E31" s="21" t="s">
        <v>17</v>
      </c>
      <c r="F31" s="24" t="s">
        <v>17</v>
      </c>
      <c r="G31" s="21">
        <f t="shared" si="0"/>
        <v>1</v>
      </c>
    </row>
    <row r="32" spans="1:7">
      <c r="A32" s="22" t="s">
        <v>95</v>
      </c>
      <c r="B32" s="23" t="s">
        <v>69</v>
      </c>
      <c r="C32" s="21" t="s">
        <v>698</v>
      </c>
      <c r="D32" s="21" t="s">
        <v>621</v>
      </c>
      <c r="E32" s="21" t="s">
        <v>30</v>
      </c>
      <c r="F32" s="24" t="s">
        <v>30</v>
      </c>
      <c r="G32" s="21">
        <f t="shared" si="0"/>
        <v>1</v>
      </c>
    </row>
    <row r="33" spans="1:7">
      <c r="A33" s="22" t="s">
        <v>98</v>
      </c>
      <c r="B33" s="23" t="s">
        <v>69</v>
      </c>
      <c r="C33" s="21" t="s">
        <v>698</v>
      </c>
      <c r="D33" s="21" t="s">
        <v>621</v>
      </c>
      <c r="E33" s="21" t="s">
        <v>17</v>
      </c>
      <c r="F33" s="24" t="s">
        <v>26</v>
      </c>
      <c r="G33" s="21">
        <f t="shared" si="0"/>
        <v>0</v>
      </c>
    </row>
    <row r="34" spans="1:7">
      <c r="A34" s="22" t="s">
        <v>101</v>
      </c>
      <c r="B34" s="23" t="s">
        <v>69</v>
      </c>
      <c r="C34" s="21" t="s">
        <v>698</v>
      </c>
      <c r="D34" s="21" t="s">
        <v>621</v>
      </c>
      <c r="E34" s="21" t="s">
        <v>26</v>
      </c>
      <c r="F34" s="24" t="s">
        <v>26</v>
      </c>
      <c r="G34" s="21">
        <f t="shared" si="0"/>
        <v>1</v>
      </c>
    </row>
    <row r="35" spans="1:7">
      <c r="A35" s="22" t="s">
        <v>103</v>
      </c>
      <c r="B35" s="23" t="s">
        <v>69</v>
      </c>
      <c r="C35" s="21" t="s">
        <v>698</v>
      </c>
      <c r="D35" s="21" t="s">
        <v>621</v>
      </c>
      <c r="E35" s="21" t="s">
        <v>17</v>
      </c>
      <c r="F35" s="24" t="s">
        <v>17</v>
      </c>
      <c r="G35" s="21">
        <f t="shared" si="0"/>
        <v>1</v>
      </c>
    </row>
    <row r="36" spans="1:7">
      <c r="A36" s="22" t="s">
        <v>106</v>
      </c>
      <c r="B36" s="23" t="s">
        <v>69</v>
      </c>
      <c r="C36" s="21" t="s">
        <v>698</v>
      </c>
      <c r="D36" s="21" t="s">
        <v>621</v>
      </c>
      <c r="E36" s="21" t="s">
        <v>26</v>
      </c>
      <c r="F36" s="24" t="s">
        <v>26</v>
      </c>
      <c r="G36" s="21">
        <f t="shared" si="0"/>
        <v>1</v>
      </c>
    </row>
    <row r="37" spans="1:7">
      <c r="A37" s="22" t="s">
        <v>109</v>
      </c>
      <c r="B37" s="23" t="s">
        <v>69</v>
      </c>
      <c r="C37" s="21" t="s">
        <v>698</v>
      </c>
      <c r="D37" s="21" t="s">
        <v>621</v>
      </c>
      <c r="E37" s="21" t="s">
        <v>26</v>
      </c>
      <c r="F37" s="24" t="s">
        <v>26</v>
      </c>
      <c r="G37" s="21">
        <f t="shared" si="0"/>
        <v>1</v>
      </c>
    </row>
    <row r="38" spans="1:7">
      <c r="A38" s="22" t="s">
        <v>112</v>
      </c>
      <c r="B38" s="23" t="s">
        <v>113</v>
      </c>
      <c r="C38" s="21" t="s">
        <v>698</v>
      </c>
      <c r="D38" s="21" t="s">
        <v>621</v>
      </c>
      <c r="E38" s="21" t="s">
        <v>17</v>
      </c>
      <c r="F38" s="24" t="s">
        <v>17</v>
      </c>
      <c r="G38" s="21">
        <f t="shared" si="0"/>
        <v>1</v>
      </c>
    </row>
    <row r="39" spans="1:7">
      <c r="A39" s="22" t="s">
        <v>116</v>
      </c>
      <c r="B39" s="23" t="s">
        <v>113</v>
      </c>
      <c r="C39" s="21" t="s">
        <v>698</v>
      </c>
      <c r="D39" s="21" t="s">
        <v>621</v>
      </c>
      <c r="E39" s="21" t="s">
        <v>26</v>
      </c>
      <c r="F39" s="24" t="s">
        <v>26</v>
      </c>
      <c r="G39" s="21">
        <f t="shared" si="0"/>
        <v>1</v>
      </c>
    </row>
    <row r="40" spans="1:7">
      <c r="A40" s="22" t="s">
        <v>119</v>
      </c>
      <c r="B40" s="23" t="s">
        <v>113</v>
      </c>
      <c r="C40" s="21" t="s">
        <v>698</v>
      </c>
      <c r="D40" s="21" t="s">
        <v>621</v>
      </c>
      <c r="E40" s="21" t="s">
        <v>30</v>
      </c>
      <c r="F40" s="24" t="s">
        <v>30</v>
      </c>
      <c r="G40" s="21">
        <f t="shared" si="0"/>
        <v>1</v>
      </c>
    </row>
    <row r="41" spans="1:7">
      <c r="A41" s="22" t="s">
        <v>122</v>
      </c>
      <c r="B41" s="23" t="s">
        <v>113</v>
      </c>
      <c r="C41" s="21" t="s">
        <v>698</v>
      </c>
      <c r="D41" s="21" t="s">
        <v>621</v>
      </c>
      <c r="E41" s="21" t="s">
        <v>30</v>
      </c>
      <c r="F41" s="24" t="s">
        <v>30</v>
      </c>
      <c r="G41" s="21">
        <f t="shared" si="0"/>
        <v>1</v>
      </c>
    </row>
    <row r="42" spans="1:7">
      <c r="A42" s="22" t="s">
        <v>125</v>
      </c>
      <c r="B42" s="23" t="s">
        <v>113</v>
      </c>
      <c r="C42" s="21" t="s">
        <v>698</v>
      </c>
      <c r="D42" s="21" t="s">
        <v>621</v>
      </c>
      <c r="E42" s="21" t="s">
        <v>30</v>
      </c>
      <c r="F42" s="24" t="s">
        <v>26</v>
      </c>
      <c r="G42" s="21">
        <f t="shared" si="0"/>
        <v>0</v>
      </c>
    </row>
    <row r="43" spans="1:7">
      <c r="A43" s="22" t="s">
        <v>128</v>
      </c>
      <c r="B43" s="23" t="s">
        <v>113</v>
      </c>
      <c r="C43" s="21" t="s">
        <v>698</v>
      </c>
      <c r="D43" s="21" t="s">
        <v>621</v>
      </c>
      <c r="E43" s="21" t="s">
        <v>17</v>
      </c>
      <c r="F43" s="24" t="s">
        <v>26</v>
      </c>
      <c r="G43" s="21">
        <f t="shared" si="0"/>
        <v>0</v>
      </c>
    </row>
    <row r="44" spans="1:7">
      <c r="A44" s="22" t="s">
        <v>131</v>
      </c>
      <c r="B44" s="23" t="s">
        <v>113</v>
      </c>
      <c r="C44" s="21" t="s">
        <v>698</v>
      </c>
      <c r="D44" s="21" t="s">
        <v>621</v>
      </c>
      <c r="E44" s="21" t="s">
        <v>30</v>
      </c>
      <c r="F44" s="24" t="s">
        <v>30</v>
      </c>
      <c r="G44" s="21">
        <f t="shared" si="0"/>
        <v>1</v>
      </c>
    </row>
    <row r="45" spans="1:7">
      <c r="A45" s="22" t="s">
        <v>134</v>
      </c>
      <c r="B45" s="23" t="s">
        <v>135</v>
      </c>
      <c r="C45" s="21" t="s">
        <v>698</v>
      </c>
      <c r="D45" s="21" t="s">
        <v>621</v>
      </c>
      <c r="E45" s="21" t="s">
        <v>17</v>
      </c>
      <c r="F45" s="24" t="s">
        <v>17</v>
      </c>
      <c r="G45" s="21">
        <f t="shared" si="0"/>
        <v>1</v>
      </c>
    </row>
    <row r="46" spans="1:7">
      <c r="A46" s="22" t="s">
        <v>138</v>
      </c>
      <c r="B46" s="23" t="s">
        <v>135</v>
      </c>
      <c r="C46" s="21" t="s">
        <v>698</v>
      </c>
      <c r="D46" s="21" t="s">
        <v>621</v>
      </c>
      <c r="E46" s="21" t="s">
        <v>30</v>
      </c>
      <c r="F46" s="24" t="s">
        <v>30</v>
      </c>
      <c r="G46" s="21">
        <f t="shared" si="0"/>
        <v>1</v>
      </c>
    </row>
    <row r="47" spans="1:7">
      <c r="A47" s="22" t="s">
        <v>141</v>
      </c>
      <c r="B47" s="23" t="s">
        <v>135</v>
      </c>
      <c r="C47" s="21" t="s">
        <v>698</v>
      </c>
      <c r="D47" s="21" t="s">
        <v>621</v>
      </c>
      <c r="E47" s="21" t="s">
        <v>26</v>
      </c>
      <c r="F47" s="24" t="s">
        <v>26</v>
      </c>
      <c r="G47" s="21">
        <f t="shared" si="0"/>
        <v>1</v>
      </c>
    </row>
    <row r="48" spans="1:7">
      <c r="A48" s="22" t="s">
        <v>144</v>
      </c>
      <c r="B48" s="23" t="s">
        <v>135</v>
      </c>
      <c r="C48" s="21" t="s">
        <v>698</v>
      </c>
      <c r="D48" s="21" t="s">
        <v>621</v>
      </c>
      <c r="E48" s="21" t="s">
        <v>17</v>
      </c>
      <c r="F48" s="24" t="s">
        <v>17</v>
      </c>
      <c r="G48" s="21">
        <f t="shared" si="0"/>
        <v>1</v>
      </c>
    </row>
    <row r="49" spans="1:7">
      <c r="A49" s="22" t="s">
        <v>147</v>
      </c>
      <c r="B49" s="23" t="s">
        <v>135</v>
      </c>
      <c r="C49" s="21" t="s">
        <v>698</v>
      </c>
      <c r="D49" s="21" t="s">
        <v>621</v>
      </c>
      <c r="E49" s="21" t="s">
        <v>30</v>
      </c>
      <c r="F49" s="24" t="s">
        <v>30</v>
      </c>
      <c r="G49" s="21">
        <f t="shared" si="0"/>
        <v>1</v>
      </c>
    </row>
    <row r="50" spans="1:7">
      <c r="A50" s="22" t="s">
        <v>150</v>
      </c>
      <c r="B50" s="23" t="s">
        <v>135</v>
      </c>
      <c r="C50" s="21" t="s">
        <v>698</v>
      </c>
      <c r="D50" s="21" t="s">
        <v>621</v>
      </c>
      <c r="E50" s="21" t="s">
        <v>11</v>
      </c>
      <c r="F50" s="24" t="s">
        <v>11</v>
      </c>
      <c r="G50" s="21">
        <f t="shared" si="0"/>
        <v>1</v>
      </c>
    </row>
    <row r="51" spans="1:7">
      <c r="A51" s="22" t="s">
        <v>153</v>
      </c>
      <c r="B51" s="23" t="s">
        <v>135</v>
      </c>
      <c r="C51" s="21" t="s">
        <v>698</v>
      </c>
      <c r="D51" s="21" t="s">
        <v>621</v>
      </c>
      <c r="E51" s="21" t="s">
        <v>11</v>
      </c>
      <c r="F51" s="24" t="s">
        <v>11</v>
      </c>
      <c r="G51" s="21">
        <f t="shared" si="0"/>
        <v>1</v>
      </c>
    </row>
    <row r="52" spans="1:7">
      <c r="A52" s="22" t="s">
        <v>156</v>
      </c>
      <c r="B52" s="23" t="s">
        <v>135</v>
      </c>
      <c r="C52" s="21" t="s">
        <v>698</v>
      </c>
      <c r="D52" s="21" t="s">
        <v>621</v>
      </c>
      <c r="E52" s="21" t="s">
        <v>26</v>
      </c>
      <c r="F52" s="24" t="s">
        <v>17</v>
      </c>
      <c r="G52" s="21">
        <f t="shared" si="0"/>
        <v>0</v>
      </c>
    </row>
    <row r="53" spans="1:7">
      <c r="A53" s="22" t="s">
        <v>159</v>
      </c>
      <c r="B53" s="23" t="s">
        <v>135</v>
      </c>
      <c r="C53" s="21" t="s">
        <v>698</v>
      </c>
      <c r="D53" s="21" t="s">
        <v>621</v>
      </c>
      <c r="E53" s="21" t="s">
        <v>11</v>
      </c>
      <c r="F53" s="24" t="s">
        <v>11</v>
      </c>
      <c r="G53" s="21">
        <f t="shared" si="0"/>
        <v>1</v>
      </c>
    </row>
    <row r="54" spans="1:7">
      <c r="A54" s="22" t="s">
        <v>161</v>
      </c>
      <c r="B54" s="23" t="s">
        <v>135</v>
      </c>
      <c r="C54" s="21" t="s">
        <v>698</v>
      </c>
      <c r="D54" s="21" t="s">
        <v>621</v>
      </c>
      <c r="E54" s="21" t="s">
        <v>26</v>
      </c>
      <c r="F54" s="24" t="s">
        <v>26</v>
      </c>
      <c r="G54" s="21">
        <f t="shared" si="0"/>
        <v>1</v>
      </c>
    </row>
    <row r="55" spans="1:7">
      <c r="A55" s="22" t="s">
        <v>164</v>
      </c>
      <c r="B55" s="23" t="s">
        <v>135</v>
      </c>
      <c r="C55" s="21" t="s">
        <v>698</v>
      </c>
      <c r="D55" s="21" t="s">
        <v>621</v>
      </c>
      <c r="E55" s="21" t="s">
        <v>17</v>
      </c>
      <c r="F55" s="24" t="s">
        <v>17</v>
      </c>
      <c r="G55" s="21">
        <f t="shared" si="0"/>
        <v>1</v>
      </c>
    </row>
    <row r="56" spans="1:7">
      <c r="A56" s="22" t="s">
        <v>167</v>
      </c>
      <c r="B56" s="23" t="s">
        <v>135</v>
      </c>
      <c r="C56" s="21" t="s">
        <v>698</v>
      </c>
      <c r="D56" s="21" t="s">
        <v>621</v>
      </c>
      <c r="E56" s="21" t="s">
        <v>30</v>
      </c>
      <c r="F56" s="24" t="s">
        <v>30</v>
      </c>
      <c r="G56" s="21">
        <f t="shared" si="0"/>
        <v>1</v>
      </c>
    </row>
    <row r="57" spans="1:7">
      <c r="A57" s="22" t="s">
        <v>170</v>
      </c>
      <c r="B57" s="23" t="s">
        <v>135</v>
      </c>
      <c r="C57" s="21" t="s">
        <v>698</v>
      </c>
      <c r="D57" s="21" t="s">
        <v>621</v>
      </c>
      <c r="E57" s="21" t="s">
        <v>26</v>
      </c>
      <c r="F57" s="24" t="s">
        <v>11</v>
      </c>
      <c r="G57" s="21">
        <f t="shared" si="0"/>
        <v>0</v>
      </c>
    </row>
    <row r="58" spans="1:7">
      <c r="A58" s="22" t="s">
        <v>173</v>
      </c>
      <c r="B58" s="23" t="s">
        <v>39</v>
      </c>
      <c r="C58" s="21" t="s">
        <v>698</v>
      </c>
      <c r="D58" s="21" t="s">
        <v>621</v>
      </c>
      <c r="E58" s="21" t="s">
        <v>30</v>
      </c>
      <c r="F58" s="24" t="s">
        <v>30</v>
      </c>
      <c r="G58" s="21">
        <f t="shared" si="0"/>
        <v>1</v>
      </c>
    </row>
    <row r="59" spans="1:7">
      <c r="A59" s="22" t="s">
        <v>176</v>
      </c>
      <c r="B59" s="23" t="s">
        <v>39</v>
      </c>
      <c r="C59" s="21" t="s">
        <v>698</v>
      </c>
      <c r="D59" s="21" t="s">
        <v>621</v>
      </c>
      <c r="E59" s="21" t="s">
        <v>30</v>
      </c>
      <c r="F59" s="24" t="s">
        <v>30</v>
      </c>
      <c r="G59" s="21">
        <f t="shared" si="0"/>
        <v>1</v>
      </c>
    </row>
    <row r="60" spans="1:7">
      <c r="A60" s="22" t="s">
        <v>179</v>
      </c>
      <c r="B60" s="23" t="s">
        <v>39</v>
      </c>
      <c r="C60" s="21" t="s">
        <v>698</v>
      </c>
      <c r="D60" s="21" t="s">
        <v>621</v>
      </c>
      <c r="E60" s="21" t="s">
        <v>26</v>
      </c>
      <c r="F60" s="24" t="s">
        <v>26</v>
      </c>
      <c r="G60" s="21">
        <f t="shared" si="0"/>
        <v>1</v>
      </c>
    </row>
    <row r="61" spans="1:7">
      <c r="A61" s="22" t="s">
        <v>181</v>
      </c>
      <c r="B61" s="23" t="s">
        <v>39</v>
      </c>
      <c r="C61" s="21" t="s">
        <v>698</v>
      </c>
      <c r="D61" s="21" t="s">
        <v>621</v>
      </c>
      <c r="E61" s="21" t="s">
        <v>11</v>
      </c>
      <c r="F61" s="24" t="s">
        <v>26</v>
      </c>
      <c r="G61" s="21">
        <f t="shared" si="0"/>
        <v>0</v>
      </c>
    </row>
    <row r="62" spans="1:7">
      <c r="A62" s="22" t="s">
        <v>183</v>
      </c>
      <c r="B62" s="23" t="s">
        <v>39</v>
      </c>
      <c r="C62" s="21" t="s">
        <v>698</v>
      </c>
      <c r="D62" s="21" t="s">
        <v>621</v>
      </c>
      <c r="E62" s="21" t="s">
        <v>30</v>
      </c>
      <c r="F62" s="24" t="s">
        <v>30</v>
      </c>
      <c r="G62" s="21">
        <f t="shared" si="0"/>
        <v>1</v>
      </c>
    </row>
    <row r="63" spans="1:7">
      <c r="A63" s="22" t="s">
        <v>185</v>
      </c>
      <c r="B63" s="23" t="s">
        <v>39</v>
      </c>
      <c r="C63" s="21" t="s">
        <v>698</v>
      </c>
      <c r="D63" s="21" t="s">
        <v>621</v>
      </c>
      <c r="E63" s="21" t="s">
        <v>30</v>
      </c>
      <c r="F63" s="24" t="s">
        <v>11</v>
      </c>
      <c r="G63" s="21">
        <f t="shared" si="0"/>
        <v>0</v>
      </c>
    </row>
    <row r="64" spans="1:7">
      <c r="A64" s="22" t="s">
        <v>188</v>
      </c>
      <c r="B64" s="23" t="s">
        <v>39</v>
      </c>
      <c r="C64" s="21" t="s">
        <v>698</v>
      </c>
      <c r="D64" s="21" t="s">
        <v>621</v>
      </c>
      <c r="E64" s="21" t="s">
        <v>11</v>
      </c>
      <c r="F64" s="24" t="s">
        <v>11</v>
      </c>
      <c r="G64" s="21">
        <f t="shared" si="0"/>
        <v>1</v>
      </c>
    </row>
    <row r="65" spans="1:7">
      <c r="A65" s="22" t="s">
        <v>191</v>
      </c>
      <c r="B65" s="23" t="s">
        <v>39</v>
      </c>
      <c r="C65" s="21" t="s">
        <v>698</v>
      </c>
      <c r="D65" s="21" t="s">
        <v>621</v>
      </c>
      <c r="E65" s="21" t="s">
        <v>30</v>
      </c>
      <c r="F65" s="24" t="s">
        <v>30</v>
      </c>
      <c r="G65" s="21">
        <f t="shared" si="0"/>
        <v>1</v>
      </c>
    </row>
    <row r="66" spans="1:7">
      <c r="A66" s="22" t="s">
        <v>194</v>
      </c>
      <c r="B66" s="23" t="s">
        <v>39</v>
      </c>
      <c r="C66" s="21" t="s">
        <v>698</v>
      </c>
      <c r="D66" s="21" t="s">
        <v>621</v>
      </c>
      <c r="E66" s="21" t="s">
        <v>30</v>
      </c>
      <c r="F66" s="24" t="s">
        <v>30</v>
      </c>
      <c r="G66" s="21">
        <f t="shared" si="0"/>
        <v>1</v>
      </c>
    </row>
    <row r="67" spans="1:7">
      <c r="A67" s="22" t="s">
        <v>196</v>
      </c>
      <c r="B67" s="23" t="s">
        <v>69</v>
      </c>
      <c r="C67" s="21" t="s">
        <v>698</v>
      </c>
      <c r="D67" s="21" t="s">
        <v>621</v>
      </c>
      <c r="E67" s="21" t="s">
        <v>30</v>
      </c>
      <c r="F67" s="24" t="s">
        <v>30</v>
      </c>
      <c r="G67" s="21">
        <f t="shared" ref="G67:G130" si="3">IF(E67=F67,1,0)</f>
        <v>1</v>
      </c>
    </row>
    <row r="68" spans="1:7">
      <c r="A68" s="22" t="s">
        <v>199</v>
      </c>
      <c r="B68" s="23" t="s">
        <v>69</v>
      </c>
      <c r="C68" s="21" t="s">
        <v>698</v>
      </c>
      <c r="D68" s="21" t="s">
        <v>621</v>
      </c>
      <c r="E68" s="21" t="s">
        <v>17</v>
      </c>
      <c r="F68" s="24" t="s">
        <v>17</v>
      </c>
      <c r="G68" s="21">
        <f t="shared" si="3"/>
        <v>1</v>
      </c>
    </row>
    <row r="69" spans="1:7">
      <c r="A69" s="22" t="s">
        <v>202</v>
      </c>
      <c r="B69" s="23" t="s">
        <v>69</v>
      </c>
      <c r="C69" s="21" t="s">
        <v>698</v>
      </c>
      <c r="D69" s="21" t="s">
        <v>621</v>
      </c>
      <c r="E69" s="21" t="s">
        <v>30</v>
      </c>
      <c r="F69" s="24" t="s">
        <v>30</v>
      </c>
      <c r="G69" s="21">
        <f t="shared" si="3"/>
        <v>1</v>
      </c>
    </row>
    <row r="70" spans="1:7">
      <c r="A70" s="22" t="s">
        <v>205</v>
      </c>
      <c r="B70" s="23" t="s">
        <v>69</v>
      </c>
      <c r="C70" s="21" t="s">
        <v>698</v>
      </c>
      <c r="D70" s="21" t="s">
        <v>621</v>
      </c>
      <c r="E70" s="21" t="s">
        <v>30</v>
      </c>
      <c r="F70" s="24" t="s">
        <v>26</v>
      </c>
      <c r="G70" s="21">
        <f t="shared" si="3"/>
        <v>0</v>
      </c>
    </row>
    <row r="71" spans="1:7">
      <c r="A71" s="22" t="s">
        <v>207</v>
      </c>
      <c r="B71" s="23" t="s">
        <v>69</v>
      </c>
      <c r="C71" s="21" t="s">
        <v>698</v>
      </c>
      <c r="D71" s="21" t="s">
        <v>621</v>
      </c>
      <c r="E71" s="21" t="s">
        <v>17</v>
      </c>
      <c r="F71" s="24" t="s">
        <v>17</v>
      </c>
      <c r="G71" s="21">
        <f t="shared" si="3"/>
        <v>1</v>
      </c>
    </row>
    <row r="72" spans="1:7">
      <c r="A72" s="22" t="s">
        <v>210</v>
      </c>
      <c r="B72" s="23" t="s">
        <v>69</v>
      </c>
      <c r="C72" s="21" t="s">
        <v>698</v>
      </c>
      <c r="D72" s="21" t="s">
        <v>621</v>
      </c>
      <c r="E72" s="21" t="s">
        <v>11</v>
      </c>
      <c r="F72" s="24" t="s">
        <v>11</v>
      </c>
      <c r="G72" s="21">
        <f t="shared" si="3"/>
        <v>1</v>
      </c>
    </row>
    <row r="73" spans="1:7">
      <c r="A73" s="22" t="s">
        <v>213</v>
      </c>
      <c r="B73" s="23" t="s">
        <v>69</v>
      </c>
      <c r="C73" s="21" t="s">
        <v>698</v>
      </c>
      <c r="D73" s="21" t="s">
        <v>621</v>
      </c>
      <c r="E73" s="21" t="s">
        <v>30</v>
      </c>
      <c r="F73" s="24" t="s">
        <v>30</v>
      </c>
      <c r="G73" s="21">
        <f t="shared" si="3"/>
        <v>1</v>
      </c>
    </row>
    <row r="74" spans="1:7">
      <c r="A74" s="22" t="s">
        <v>216</v>
      </c>
      <c r="B74" s="23" t="s">
        <v>69</v>
      </c>
      <c r="C74" s="21" t="s">
        <v>698</v>
      </c>
      <c r="D74" s="21" t="s">
        <v>621</v>
      </c>
      <c r="E74" s="21" t="s">
        <v>11</v>
      </c>
      <c r="F74" s="24" t="s">
        <v>11</v>
      </c>
      <c r="G74" s="21">
        <f t="shared" si="3"/>
        <v>1</v>
      </c>
    </row>
    <row r="75" spans="1:7">
      <c r="A75" s="22" t="s">
        <v>219</v>
      </c>
      <c r="B75" s="23" t="s">
        <v>69</v>
      </c>
      <c r="C75" s="21" t="s">
        <v>698</v>
      </c>
      <c r="D75" s="21" t="s">
        <v>621</v>
      </c>
      <c r="E75" s="21" t="s">
        <v>17</v>
      </c>
      <c r="F75" s="24" t="s">
        <v>17</v>
      </c>
      <c r="G75" s="21">
        <f t="shared" si="3"/>
        <v>1</v>
      </c>
    </row>
    <row r="76" spans="1:7">
      <c r="A76" s="22" t="s">
        <v>222</v>
      </c>
      <c r="B76" s="23" t="s">
        <v>69</v>
      </c>
      <c r="C76" s="21" t="s">
        <v>698</v>
      </c>
      <c r="D76" s="21" t="s">
        <v>621</v>
      </c>
      <c r="E76" s="21" t="s">
        <v>11</v>
      </c>
      <c r="F76" s="24" t="s">
        <v>11</v>
      </c>
      <c r="G76" s="21">
        <f t="shared" si="3"/>
        <v>1</v>
      </c>
    </row>
    <row r="77" spans="1:7">
      <c r="A77" s="22" t="s">
        <v>225</v>
      </c>
      <c r="B77" s="23" t="s">
        <v>69</v>
      </c>
      <c r="C77" s="21" t="s">
        <v>698</v>
      </c>
      <c r="D77" s="21" t="s">
        <v>621</v>
      </c>
      <c r="E77" s="21" t="s">
        <v>26</v>
      </c>
      <c r="F77" s="24" t="s">
        <v>11</v>
      </c>
      <c r="G77" s="21">
        <f t="shared" si="3"/>
        <v>0</v>
      </c>
    </row>
    <row r="78" spans="1:7">
      <c r="A78" s="22" t="s">
        <v>227</v>
      </c>
      <c r="B78" s="23" t="s">
        <v>69</v>
      </c>
      <c r="C78" s="21" t="s">
        <v>698</v>
      </c>
      <c r="D78" s="21" t="s">
        <v>621</v>
      </c>
      <c r="E78" s="21" t="s">
        <v>26</v>
      </c>
      <c r="F78" s="24" t="s">
        <v>26</v>
      </c>
      <c r="G78" s="21">
        <f t="shared" si="3"/>
        <v>1</v>
      </c>
    </row>
    <row r="79" spans="1:7">
      <c r="A79" s="22" t="s">
        <v>230</v>
      </c>
      <c r="B79" s="23" t="s">
        <v>69</v>
      </c>
      <c r="C79" s="21" t="s">
        <v>698</v>
      </c>
      <c r="D79" s="21" t="s">
        <v>621</v>
      </c>
      <c r="E79" s="21" t="s">
        <v>17</v>
      </c>
      <c r="F79" s="24" t="s">
        <v>17</v>
      </c>
      <c r="G79" s="21">
        <f t="shared" si="3"/>
        <v>1</v>
      </c>
    </row>
    <row r="80" spans="1:7">
      <c r="A80" s="22" t="s">
        <v>233</v>
      </c>
      <c r="B80" s="23" t="s">
        <v>69</v>
      </c>
      <c r="C80" s="21" t="s">
        <v>698</v>
      </c>
      <c r="D80" s="21" t="s">
        <v>621</v>
      </c>
      <c r="E80" s="21" t="s">
        <v>26</v>
      </c>
      <c r="F80" s="24" t="s">
        <v>26</v>
      </c>
      <c r="G80" s="21">
        <f t="shared" si="3"/>
        <v>1</v>
      </c>
    </row>
    <row r="81" spans="1:7">
      <c r="A81" s="22" t="s">
        <v>236</v>
      </c>
      <c r="B81" s="23" t="s">
        <v>69</v>
      </c>
      <c r="C81" s="21" t="s">
        <v>698</v>
      </c>
      <c r="D81" s="21" t="s">
        <v>621</v>
      </c>
      <c r="E81" s="21" t="s">
        <v>11</v>
      </c>
      <c r="F81" s="24" t="s">
        <v>11</v>
      </c>
      <c r="G81" s="21">
        <f t="shared" si="3"/>
        <v>1</v>
      </c>
    </row>
    <row r="82" spans="1:7">
      <c r="A82" s="22" t="s">
        <v>238</v>
      </c>
      <c r="B82" s="23" t="s">
        <v>69</v>
      </c>
      <c r="C82" s="21" t="s">
        <v>698</v>
      </c>
      <c r="D82" s="21" t="s">
        <v>621</v>
      </c>
      <c r="E82" s="21" t="s">
        <v>26</v>
      </c>
      <c r="F82" s="24" t="s">
        <v>26</v>
      </c>
      <c r="G82" s="21">
        <f t="shared" si="3"/>
        <v>1</v>
      </c>
    </row>
    <row r="83" spans="1:7">
      <c r="A83" s="22" t="s">
        <v>241</v>
      </c>
      <c r="B83" s="23" t="s">
        <v>69</v>
      </c>
      <c r="C83" s="21" t="s">
        <v>698</v>
      </c>
      <c r="D83" s="21" t="s">
        <v>621</v>
      </c>
      <c r="E83" s="21" t="s">
        <v>17</v>
      </c>
      <c r="F83" s="24" t="s">
        <v>17</v>
      </c>
      <c r="G83" s="21">
        <f t="shared" si="3"/>
        <v>1</v>
      </c>
    </row>
    <row r="84" spans="1:7">
      <c r="A84" s="22" t="s">
        <v>244</v>
      </c>
      <c r="B84" s="23" t="s">
        <v>69</v>
      </c>
      <c r="C84" s="21" t="s">
        <v>698</v>
      </c>
      <c r="D84" s="21" t="s">
        <v>621</v>
      </c>
      <c r="E84" s="21" t="s">
        <v>30</v>
      </c>
      <c r="F84" s="24" t="s">
        <v>30</v>
      </c>
      <c r="G84" s="21">
        <f t="shared" si="3"/>
        <v>1</v>
      </c>
    </row>
    <row r="85" spans="1:7">
      <c r="A85" s="22" t="s">
        <v>247</v>
      </c>
      <c r="B85" s="23" t="s">
        <v>8</v>
      </c>
      <c r="C85" s="21" t="s">
        <v>698</v>
      </c>
      <c r="D85" s="21" t="s">
        <v>621</v>
      </c>
      <c r="E85" s="21" t="s">
        <v>30</v>
      </c>
      <c r="F85" s="24" t="s">
        <v>30</v>
      </c>
      <c r="G85" s="21">
        <f t="shared" si="3"/>
        <v>1</v>
      </c>
    </row>
    <row r="86" spans="1:7">
      <c r="A86" s="22" t="s">
        <v>249</v>
      </c>
      <c r="B86" s="23" t="s">
        <v>8</v>
      </c>
      <c r="C86" s="21" t="s">
        <v>698</v>
      </c>
      <c r="D86" s="21" t="s">
        <v>621</v>
      </c>
      <c r="E86" s="21" t="s">
        <v>30</v>
      </c>
      <c r="F86" s="24" t="s">
        <v>30</v>
      </c>
      <c r="G86" s="21">
        <f t="shared" si="3"/>
        <v>1</v>
      </c>
    </row>
    <row r="87" spans="1:7">
      <c r="A87" s="22" t="s">
        <v>252</v>
      </c>
      <c r="B87" s="23" t="s">
        <v>8</v>
      </c>
      <c r="C87" s="21" t="s">
        <v>698</v>
      </c>
      <c r="D87" s="21" t="s">
        <v>621</v>
      </c>
      <c r="E87" s="21" t="s">
        <v>11</v>
      </c>
      <c r="F87" s="24" t="s">
        <v>11</v>
      </c>
      <c r="G87" s="21">
        <f t="shared" si="3"/>
        <v>1</v>
      </c>
    </row>
    <row r="88" spans="1:7">
      <c r="A88" s="22" t="s">
        <v>255</v>
      </c>
      <c r="B88" s="23" t="s">
        <v>8</v>
      </c>
      <c r="C88" s="21" t="s">
        <v>698</v>
      </c>
      <c r="D88" s="21" t="s">
        <v>621</v>
      </c>
      <c r="E88" s="21" t="s">
        <v>26</v>
      </c>
      <c r="F88" s="24" t="s">
        <v>26</v>
      </c>
      <c r="G88" s="21">
        <f t="shared" si="3"/>
        <v>1</v>
      </c>
    </row>
    <row r="89" spans="1:7">
      <c r="A89" s="22" t="s">
        <v>258</v>
      </c>
      <c r="B89" s="23" t="s">
        <v>8</v>
      </c>
      <c r="C89" s="21" t="s">
        <v>698</v>
      </c>
      <c r="D89" s="21" t="s">
        <v>621</v>
      </c>
      <c r="E89" s="21" t="s">
        <v>11</v>
      </c>
      <c r="F89" s="24" t="s">
        <v>11</v>
      </c>
      <c r="G89" s="21">
        <f t="shared" si="3"/>
        <v>1</v>
      </c>
    </row>
    <row r="90" spans="1:7">
      <c r="A90" s="22" t="s">
        <v>260</v>
      </c>
      <c r="B90" s="23" t="s">
        <v>8</v>
      </c>
      <c r="C90" s="21" t="s">
        <v>698</v>
      </c>
      <c r="D90" s="21" t="s">
        <v>621</v>
      </c>
      <c r="E90" s="21" t="s">
        <v>26</v>
      </c>
      <c r="F90" s="24" t="s">
        <v>26</v>
      </c>
      <c r="G90" s="21">
        <f t="shared" si="3"/>
        <v>1</v>
      </c>
    </row>
    <row r="91" spans="1:7">
      <c r="A91" s="22" t="s">
        <v>263</v>
      </c>
      <c r="B91" s="23" t="s">
        <v>8</v>
      </c>
      <c r="C91" s="21" t="s">
        <v>698</v>
      </c>
      <c r="D91" s="21" t="s">
        <v>621</v>
      </c>
      <c r="E91" s="21" t="s">
        <v>11</v>
      </c>
      <c r="F91" s="24" t="s">
        <v>11</v>
      </c>
      <c r="G91" s="21">
        <f t="shared" si="3"/>
        <v>1</v>
      </c>
    </row>
    <row r="92" spans="1:7">
      <c r="A92" s="22" t="s">
        <v>266</v>
      </c>
      <c r="B92" s="23" t="s">
        <v>8</v>
      </c>
      <c r="C92" s="21" t="s">
        <v>698</v>
      </c>
      <c r="D92" s="21" t="s">
        <v>621</v>
      </c>
      <c r="E92" s="21" t="s">
        <v>11</v>
      </c>
      <c r="F92" s="24" t="s">
        <v>11</v>
      </c>
      <c r="G92" s="21">
        <f t="shared" si="3"/>
        <v>1</v>
      </c>
    </row>
    <row r="93" spans="1:7">
      <c r="A93" s="22" t="s">
        <v>269</v>
      </c>
      <c r="B93" s="23" t="s">
        <v>8</v>
      </c>
      <c r="C93" s="21" t="s">
        <v>698</v>
      </c>
      <c r="D93" s="21" t="s">
        <v>621</v>
      </c>
      <c r="E93" s="21" t="s">
        <v>11</v>
      </c>
      <c r="F93" s="24" t="s">
        <v>11</v>
      </c>
      <c r="G93" s="21">
        <f t="shared" si="3"/>
        <v>1</v>
      </c>
    </row>
    <row r="94" spans="1:7">
      <c r="A94" s="22" t="s">
        <v>272</v>
      </c>
      <c r="B94" s="23" t="s">
        <v>8</v>
      </c>
      <c r="C94" s="21" t="s">
        <v>698</v>
      </c>
      <c r="D94" s="21" t="s">
        <v>621</v>
      </c>
      <c r="E94" s="21" t="s">
        <v>26</v>
      </c>
      <c r="F94" s="24" t="s">
        <v>26</v>
      </c>
      <c r="G94" s="21">
        <f t="shared" si="3"/>
        <v>1</v>
      </c>
    </row>
    <row r="95" spans="1:7">
      <c r="A95" s="22" t="s">
        <v>275</v>
      </c>
      <c r="B95" s="23" t="s">
        <v>8</v>
      </c>
      <c r="C95" s="21" t="s">
        <v>698</v>
      </c>
      <c r="D95" s="21" t="s">
        <v>621</v>
      </c>
      <c r="E95" s="21" t="s">
        <v>30</v>
      </c>
      <c r="F95" s="24" t="s">
        <v>30</v>
      </c>
      <c r="G95" s="21">
        <f t="shared" si="3"/>
        <v>1</v>
      </c>
    </row>
    <row r="96" spans="1:7">
      <c r="A96" s="22" t="s">
        <v>277</v>
      </c>
      <c r="B96" s="23" t="s">
        <v>8</v>
      </c>
      <c r="C96" s="21" t="s">
        <v>698</v>
      </c>
      <c r="D96" s="21" t="s">
        <v>621</v>
      </c>
      <c r="E96" s="21" t="s">
        <v>26</v>
      </c>
      <c r="F96" s="24" t="s">
        <v>26</v>
      </c>
      <c r="G96" s="21">
        <f t="shared" si="3"/>
        <v>1</v>
      </c>
    </row>
    <row r="97" spans="1:7">
      <c r="A97" s="22" t="s">
        <v>280</v>
      </c>
      <c r="B97" s="23" t="s">
        <v>8</v>
      </c>
      <c r="C97" s="21" t="s">
        <v>698</v>
      </c>
      <c r="D97" s="21" t="s">
        <v>621</v>
      </c>
      <c r="E97" s="21" t="s">
        <v>30</v>
      </c>
      <c r="F97" s="24" t="s">
        <v>17</v>
      </c>
      <c r="G97" s="21">
        <f t="shared" si="3"/>
        <v>0</v>
      </c>
    </row>
    <row r="98" spans="1:7">
      <c r="A98" s="22" t="s">
        <v>282</v>
      </c>
      <c r="B98" s="23" t="s">
        <v>8</v>
      </c>
      <c r="C98" s="21" t="s">
        <v>698</v>
      </c>
      <c r="D98" s="21" t="s">
        <v>621</v>
      </c>
      <c r="E98" s="21" t="s">
        <v>30</v>
      </c>
      <c r="F98" s="24" t="s">
        <v>30</v>
      </c>
      <c r="G98" s="21">
        <f t="shared" si="3"/>
        <v>1</v>
      </c>
    </row>
    <row r="99" spans="1:7">
      <c r="A99" s="22" t="s">
        <v>284</v>
      </c>
      <c r="B99" s="23" t="s">
        <v>113</v>
      </c>
      <c r="C99" s="21" t="s">
        <v>698</v>
      </c>
      <c r="D99" s="21" t="s">
        <v>621</v>
      </c>
      <c r="E99" s="21" t="s">
        <v>30</v>
      </c>
      <c r="F99" s="24" t="s">
        <v>30</v>
      </c>
      <c r="G99" s="21">
        <f t="shared" si="3"/>
        <v>1</v>
      </c>
    </row>
    <row r="100" spans="1:7">
      <c r="A100" s="22" t="s">
        <v>287</v>
      </c>
      <c r="B100" s="23" t="s">
        <v>113</v>
      </c>
      <c r="C100" s="21" t="s">
        <v>698</v>
      </c>
      <c r="D100" s="21" t="s">
        <v>621</v>
      </c>
      <c r="E100" s="21" t="s">
        <v>11</v>
      </c>
      <c r="F100" s="24" t="s">
        <v>11</v>
      </c>
      <c r="G100" s="21">
        <f t="shared" si="3"/>
        <v>1</v>
      </c>
    </row>
    <row r="101" spans="1:7">
      <c r="A101" s="22" t="s">
        <v>290</v>
      </c>
      <c r="B101" s="23" t="s">
        <v>113</v>
      </c>
      <c r="C101" s="21" t="s">
        <v>698</v>
      </c>
      <c r="D101" s="21" t="s">
        <v>621</v>
      </c>
      <c r="E101" s="21" t="s">
        <v>26</v>
      </c>
      <c r="F101" s="24" t="s">
        <v>11</v>
      </c>
      <c r="G101" s="21">
        <f t="shared" si="3"/>
        <v>0</v>
      </c>
    </row>
    <row r="102" spans="1:7">
      <c r="A102" s="22" t="s">
        <v>293</v>
      </c>
      <c r="B102" s="23" t="s">
        <v>113</v>
      </c>
      <c r="C102" s="21" t="s">
        <v>698</v>
      </c>
      <c r="D102" s="21" t="s">
        <v>621</v>
      </c>
      <c r="E102" s="21" t="s">
        <v>11</v>
      </c>
      <c r="F102" s="24" t="s">
        <v>11</v>
      </c>
      <c r="G102" s="21">
        <f t="shared" si="3"/>
        <v>1</v>
      </c>
    </row>
    <row r="103" spans="1:7">
      <c r="A103" s="22" t="s">
        <v>296</v>
      </c>
      <c r="B103" s="23" t="s">
        <v>113</v>
      </c>
      <c r="C103" s="21" t="s">
        <v>698</v>
      </c>
      <c r="D103" s="21" t="s">
        <v>621</v>
      </c>
      <c r="E103" s="21" t="s">
        <v>26</v>
      </c>
      <c r="F103" s="24" t="s">
        <v>26</v>
      </c>
      <c r="G103" s="21">
        <f t="shared" si="3"/>
        <v>1</v>
      </c>
    </row>
    <row r="104" spans="1:7">
      <c r="A104" s="22" t="s">
        <v>299</v>
      </c>
      <c r="B104" s="23" t="s">
        <v>113</v>
      </c>
      <c r="C104" s="21" t="s">
        <v>698</v>
      </c>
      <c r="D104" s="21" t="s">
        <v>621</v>
      </c>
      <c r="E104" s="21" t="s">
        <v>17</v>
      </c>
      <c r="F104" s="24" t="s">
        <v>17</v>
      </c>
      <c r="G104" s="21">
        <f t="shared" si="3"/>
        <v>1</v>
      </c>
    </row>
    <row r="105" spans="1:7">
      <c r="A105" s="22" t="s">
        <v>302</v>
      </c>
      <c r="B105" s="23" t="s">
        <v>113</v>
      </c>
      <c r="C105" s="21" t="s">
        <v>698</v>
      </c>
      <c r="D105" s="21" t="s">
        <v>621</v>
      </c>
      <c r="E105" s="21" t="s">
        <v>26</v>
      </c>
      <c r="F105" s="24" t="s">
        <v>26</v>
      </c>
      <c r="G105" s="21">
        <f t="shared" si="3"/>
        <v>1</v>
      </c>
    </row>
    <row r="106" spans="1:7">
      <c r="A106" s="22" t="s">
        <v>305</v>
      </c>
      <c r="B106" s="23" t="s">
        <v>113</v>
      </c>
      <c r="C106" s="21" t="s">
        <v>698</v>
      </c>
      <c r="D106" s="21" t="s">
        <v>621</v>
      </c>
      <c r="E106" s="21" t="s">
        <v>17</v>
      </c>
      <c r="F106" s="24" t="s">
        <v>17</v>
      </c>
      <c r="G106" s="21">
        <f t="shared" si="3"/>
        <v>1</v>
      </c>
    </row>
    <row r="107" spans="1:7">
      <c r="A107" s="22" t="s">
        <v>308</v>
      </c>
      <c r="B107" s="23" t="s">
        <v>113</v>
      </c>
      <c r="C107" s="21" t="s">
        <v>698</v>
      </c>
      <c r="D107" s="21" t="s">
        <v>621</v>
      </c>
      <c r="E107" s="21" t="s">
        <v>30</v>
      </c>
      <c r="F107" s="24" t="s">
        <v>30</v>
      </c>
      <c r="G107" s="21">
        <f t="shared" si="3"/>
        <v>1</v>
      </c>
    </row>
    <row r="108" spans="1:7">
      <c r="A108" s="22" t="s">
        <v>310</v>
      </c>
      <c r="B108" s="23" t="s">
        <v>135</v>
      </c>
      <c r="C108" s="21" t="s">
        <v>698</v>
      </c>
      <c r="D108" s="21" t="s">
        <v>621</v>
      </c>
      <c r="E108" s="21" t="s">
        <v>17</v>
      </c>
      <c r="F108" s="24" t="s">
        <v>17</v>
      </c>
      <c r="G108" s="21">
        <f t="shared" si="3"/>
        <v>1</v>
      </c>
    </row>
    <row r="109" spans="1:7">
      <c r="A109" s="22" t="s">
        <v>313</v>
      </c>
      <c r="B109" s="23" t="s">
        <v>135</v>
      </c>
      <c r="C109" s="21" t="s">
        <v>698</v>
      </c>
      <c r="D109" s="21" t="s">
        <v>621</v>
      </c>
      <c r="E109" s="21" t="s">
        <v>17</v>
      </c>
      <c r="F109" s="24" t="s">
        <v>26</v>
      </c>
      <c r="G109" s="21">
        <f t="shared" si="3"/>
        <v>0</v>
      </c>
    </row>
    <row r="110" spans="1:7">
      <c r="A110" s="22" t="s">
        <v>316</v>
      </c>
      <c r="B110" s="23" t="s">
        <v>135</v>
      </c>
      <c r="C110" s="21" t="s">
        <v>698</v>
      </c>
      <c r="D110" s="21" t="s">
        <v>621</v>
      </c>
      <c r="E110" s="21" t="s">
        <v>11</v>
      </c>
      <c r="F110" s="24" t="s">
        <v>11</v>
      </c>
      <c r="G110" s="21">
        <f t="shared" si="3"/>
        <v>1</v>
      </c>
    </row>
    <row r="111" spans="1:7">
      <c r="A111" s="22" t="s">
        <v>318</v>
      </c>
      <c r="B111" s="23" t="s">
        <v>113</v>
      </c>
      <c r="C111" s="21" t="s">
        <v>698</v>
      </c>
      <c r="D111" s="21" t="s">
        <v>621</v>
      </c>
      <c r="E111" s="21" t="s">
        <v>11</v>
      </c>
      <c r="F111" s="24" t="s">
        <v>11</v>
      </c>
      <c r="G111" s="21">
        <f t="shared" si="3"/>
        <v>1</v>
      </c>
    </row>
    <row r="112" spans="1:7">
      <c r="A112" s="22" t="s">
        <v>321</v>
      </c>
      <c r="B112" s="23" t="s">
        <v>113</v>
      </c>
      <c r="C112" s="21" t="s">
        <v>698</v>
      </c>
      <c r="D112" s="21" t="s">
        <v>621</v>
      </c>
      <c r="E112" s="21" t="s">
        <v>11</v>
      </c>
      <c r="F112" s="24" t="s">
        <v>11</v>
      </c>
      <c r="G112" s="21">
        <f t="shared" si="3"/>
        <v>1</v>
      </c>
    </row>
    <row r="113" spans="1:7">
      <c r="A113" s="22" t="s">
        <v>324</v>
      </c>
      <c r="B113" s="23" t="s">
        <v>113</v>
      </c>
      <c r="C113" s="21" t="s">
        <v>698</v>
      </c>
      <c r="D113" s="21" t="s">
        <v>621</v>
      </c>
      <c r="E113" s="21" t="s">
        <v>11</v>
      </c>
      <c r="F113" s="24" t="s">
        <v>11</v>
      </c>
      <c r="G113" s="21">
        <f t="shared" si="3"/>
        <v>1</v>
      </c>
    </row>
    <row r="114" spans="1:7">
      <c r="A114" s="22" t="s">
        <v>327</v>
      </c>
      <c r="B114" s="23" t="s">
        <v>113</v>
      </c>
      <c r="C114" s="21" t="s">
        <v>698</v>
      </c>
      <c r="D114" s="21" t="s">
        <v>621</v>
      </c>
      <c r="E114" s="21" t="s">
        <v>26</v>
      </c>
      <c r="F114" s="24" t="s">
        <v>26</v>
      </c>
      <c r="G114" s="21">
        <f t="shared" si="3"/>
        <v>1</v>
      </c>
    </row>
    <row r="115" spans="1:7">
      <c r="A115" s="22" t="s">
        <v>330</v>
      </c>
      <c r="B115" s="23" t="s">
        <v>8</v>
      </c>
      <c r="C115" s="21" t="s">
        <v>698</v>
      </c>
      <c r="D115" s="21" t="s">
        <v>621</v>
      </c>
      <c r="E115" s="21" t="s">
        <v>11</v>
      </c>
      <c r="F115" s="24" t="s">
        <v>11</v>
      </c>
      <c r="G115" s="21">
        <f t="shared" si="3"/>
        <v>1</v>
      </c>
    </row>
    <row r="116" spans="1:7">
      <c r="A116" s="22" t="s">
        <v>333</v>
      </c>
      <c r="B116" s="23" t="s">
        <v>8</v>
      </c>
      <c r="C116" s="21" t="s">
        <v>698</v>
      </c>
      <c r="D116" s="21" t="s">
        <v>621</v>
      </c>
      <c r="E116" s="21" t="s">
        <v>17</v>
      </c>
      <c r="F116" s="24" t="s">
        <v>17</v>
      </c>
      <c r="G116" s="21">
        <f t="shared" si="3"/>
        <v>1</v>
      </c>
    </row>
    <row r="117" spans="1:7">
      <c r="A117" s="22" t="s">
        <v>336</v>
      </c>
      <c r="B117" s="23" t="s">
        <v>8</v>
      </c>
      <c r="C117" s="21" t="s">
        <v>698</v>
      </c>
      <c r="D117" s="21" t="s">
        <v>621</v>
      </c>
      <c r="E117" s="21" t="s">
        <v>17</v>
      </c>
      <c r="F117" s="24" t="s">
        <v>17</v>
      </c>
      <c r="G117" s="21">
        <f t="shared" si="3"/>
        <v>1</v>
      </c>
    </row>
    <row r="118" spans="1:7">
      <c r="A118" s="22" t="s">
        <v>339</v>
      </c>
      <c r="B118" s="23" t="s">
        <v>8</v>
      </c>
      <c r="C118" s="21" t="s">
        <v>698</v>
      </c>
      <c r="D118" s="21" t="s">
        <v>621</v>
      </c>
      <c r="E118" s="21" t="s">
        <v>30</v>
      </c>
      <c r="F118" s="24" t="s">
        <v>11</v>
      </c>
      <c r="G118" s="21">
        <f t="shared" si="3"/>
        <v>0</v>
      </c>
    </row>
    <row r="119" spans="1:7">
      <c r="A119" s="22" t="s">
        <v>341</v>
      </c>
      <c r="B119" s="23" t="s">
        <v>8</v>
      </c>
      <c r="C119" s="21" t="s">
        <v>698</v>
      </c>
      <c r="D119" s="21" t="s">
        <v>621</v>
      </c>
      <c r="E119" s="21" t="s">
        <v>30</v>
      </c>
      <c r="F119" s="24" t="s">
        <v>30</v>
      </c>
      <c r="G119" s="21">
        <f t="shared" si="3"/>
        <v>1</v>
      </c>
    </row>
    <row r="120" spans="1:7">
      <c r="A120" s="22" t="s">
        <v>344</v>
      </c>
      <c r="B120" s="23" t="s">
        <v>8</v>
      </c>
      <c r="C120" s="21" t="s">
        <v>698</v>
      </c>
      <c r="D120" s="21" t="s">
        <v>621</v>
      </c>
      <c r="E120" s="21" t="s">
        <v>30</v>
      </c>
      <c r="F120" s="24" t="s">
        <v>83</v>
      </c>
      <c r="G120" s="21">
        <f t="shared" si="3"/>
        <v>0</v>
      </c>
    </row>
    <row r="121" spans="1:7">
      <c r="A121" s="22" t="s">
        <v>346</v>
      </c>
      <c r="B121" s="23" t="s">
        <v>8</v>
      </c>
      <c r="C121" s="21" t="s">
        <v>698</v>
      </c>
      <c r="D121" s="21" t="s">
        <v>621</v>
      </c>
      <c r="E121" s="21" t="s">
        <v>30</v>
      </c>
      <c r="F121" s="24" t="s">
        <v>30</v>
      </c>
      <c r="G121" s="21">
        <f t="shared" si="3"/>
        <v>1</v>
      </c>
    </row>
    <row r="122" spans="1:7">
      <c r="A122" s="22" t="s">
        <v>349</v>
      </c>
      <c r="B122" s="23" t="s">
        <v>8</v>
      </c>
      <c r="C122" s="21" t="s">
        <v>698</v>
      </c>
      <c r="D122" s="21" t="s">
        <v>621</v>
      </c>
      <c r="E122" s="21" t="s">
        <v>17</v>
      </c>
      <c r="F122" s="24" t="s">
        <v>17</v>
      </c>
      <c r="G122" s="21">
        <f t="shared" si="3"/>
        <v>1</v>
      </c>
    </row>
    <row r="123" spans="1:7">
      <c r="A123" s="22" t="s">
        <v>351</v>
      </c>
      <c r="B123" s="23" t="s">
        <v>8</v>
      </c>
      <c r="C123" s="21" t="s">
        <v>698</v>
      </c>
      <c r="D123" s="21" t="s">
        <v>621</v>
      </c>
      <c r="E123" s="21" t="s">
        <v>26</v>
      </c>
      <c r="F123" s="24" t="s">
        <v>26</v>
      </c>
      <c r="G123" s="21">
        <f t="shared" si="3"/>
        <v>1</v>
      </c>
    </row>
    <row r="124" spans="1:7">
      <c r="A124" s="22" t="s">
        <v>354</v>
      </c>
      <c r="B124" s="23" t="s">
        <v>8</v>
      </c>
      <c r="C124" s="21" t="s">
        <v>698</v>
      </c>
      <c r="D124" s="21" t="s">
        <v>621</v>
      </c>
      <c r="E124" s="21" t="s">
        <v>11</v>
      </c>
      <c r="F124" s="24" t="s">
        <v>11</v>
      </c>
      <c r="G124" s="21">
        <f t="shared" si="3"/>
        <v>1</v>
      </c>
    </row>
    <row r="125" spans="1:7">
      <c r="A125" s="22" t="s">
        <v>356</v>
      </c>
      <c r="B125" s="23" t="s">
        <v>8</v>
      </c>
      <c r="C125" s="21" t="s">
        <v>698</v>
      </c>
      <c r="D125" s="21" t="s">
        <v>621</v>
      </c>
      <c r="E125" s="21" t="s">
        <v>17</v>
      </c>
      <c r="F125" s="24" t="s">
        <v>17</v>
      </c>
      <c r="G125" s="21">
        <f t="shared" si="3"/>
        <v>1</v>
      </c>
    </row>
    <row r="126" spans="1:7">
      <c r="A126" s="22" t="s">
        <v>359</v>
      </c>
      <c r="B126" s="23" t="s">
        <v>8</v>
      </c>
      <c r="C126" s="21" t="s">
        <v>698</v>
      </c>
      <c r="D126" s="21" t="s">
        <v>621</v>
      </c>
      <c r="E126" s="21" t="s">
        <v>30</v>
      </c>
      <c r="F126" s="24" t="s">
        <v>30</v>
      </c>
      <c r="G126" s="21">
        <f t="shared" si="3"/>
        <v>1</v>
      </c>
    </row>
    <row r="127" spans="1:7">
      <c r="A127" s="22" t="s">
        <v>362</v>
      </c>
      <c r="B127" s="23" t="s">
        <v>8</v>
      </c>
      <c r="C127" s="21" t="s">
        <v>698</v>
      </c>
      <c r="D127" s="21" t="s">
        <v>621</v>
      </c>
      <c r="E127" s="21" t="s">
        <v>26</v>
      </c>
      <c r="F127" s="24" t="s">
        <v>26</v>
      </c>
      <c r="G127" s="21">
        <f t="shared" si="3"/>
        <v>1</v>
      </c>
    </row>
    <row r="128" spans="1:7">
      <c r="A128" s="22" t="s">
        <v>365</v>
      </c>
      <c r="B128" s="23" t="s">
        <v>8</v>
      </c>
      <c r="C128" s="21" t="s">
        <v>698</v>
      </c>
      <c r="D128" s="21" t="s">
        <v>621</v>
      </c>
      <c r="E128" s="21" t="s">
        <v>11</v>
      </c>
      <c r="F128" s="24" t="s">
        <v>11</v>
      </c>
      <c r="G128" s="21">
        <f t="shared" si="3"/>
        <v>1</v>
      </c>
    </row>
    <row r="129" spans="1:7">
      <c r="A129" s="22" t="s">
        <v>367</v>
      </c>
      <c r="B129" s="23" t="s">
        <v>39</v>
      </c>
      <c r="C129" s="21" t="s">
        <v>698</v>
      </c>
      <c r="D129" s="21" t="s">
        <v>621</v>
      </c>
      <c r="E129" s="21" t="s">
        <v>30</v>
      </c>
      <c r="F129" s="24" t="s">
        <v>30</v>
      </c>
      <c r="G129" s="21">
        <f t="shared" si="3"/>
        <v>1</v>
      </c>
    </row>
    <row r="130" spans="1:7">
      <c r="A130" s="22" t="s">
        <v>369</v>
      </c>
      <c r="B130" s="23" t="s">
        <v>39</v>
      </c>
      <c r="C130" s="21" t="s">
        <v>698</v>
      </c>
      <c r="D130" s="21" t="s">
        <v>621</v>
      </c>
      <c r="E130" s="21" t="s">
        <v>26</v>
      </c>
      <c r="F130" s="24" t="s">
        <v>26</v>
      </c>
      <c r="G130" s="21">
        <f t="shared" si="3"/>
        <v>1</v>
      </c>
    </row>
    <row r="131" spans="1:7">
      <c r="A131" s="22" t="s">
        <v>372</v>
      </c>
      <c r="B131" s="23" t="s">
        <v>39</v>
      </c>
      <c r="C131" s="21" t="s">
        <v>698</v>
      </c>
      <c r="D131" s="21" t="s">
        <v>621</v>
      </c>
      <c r="E131" s="21" t="s">
        <v>17</v>
      </c>
      <c r="F131" s="24" t="s">
        <v>30</v>
      </c>
      <c r="G131" s="21">
        <f t="shared" ref="G131:G156" si="4">IF(E131=F131,1,0)</f>
        <v>0</v>
      </c>
    </row>
    <row r="132" spans="1:7">
      <c r="A132" s="22" t="s">
        <v>375</v>
      </c>
      <c r="B132" s="23" t="s">
        <v>39</v>
      </c>
      <c r="C132" s="21" t="s">
        <v>698</v>
      </c>
      <c r="D132" s="21" t="s">
        <v>621</v>
      </c>
      <c r="E132" s="21" t="s">
        <v>17</v>
      </c>
      <c r="F132" s="24" t="s">
        <v>17</v>
      </c>
      <c r="G132" s="21">
        <f t="shared" si="4"/>
        <v>1</v>
      </c>
    </row>
    <row r="133" spans="1:7">
      <c r="A133" s="22" t="s">
        <v>378</v>
      </c>
      <c r="B133" s="23" t="s">
        <v>39</v>
      </c>
      <c r="C133" s="21" t="s">
        <v>698</v>
      </c>
      <c r="D133" s="21" t="s">
        <v>621</v>
      </c>
      <c r="E133" s="21" t="s">
        <v>11</v>
      </c>
      <c r="F133" s="24" t="s">
        <v>11</v>
      </c>
      <c r="G133" s="21">
        <f t="shared" si="4"/>
        <v>1</v>
      </c>
    </row>
    <row r="134" spans="1:7">
      <c r="A134" s="22" t="s">
        <v>381</v>
      </c>
      <c r="B134" s="23" t="s">
        <v>39</v>
      </c>
      <c r="C134" s="21" t="s">
        <v>698</v>
      </c>
      <c r="D134" s="21" t="s">
        <v>621</v>
      </c>
      <c r="E134" s="21" t="s">
        <v>17</v>
      </c>
      <c r="F134" s="24" t="s">
        <v>17</v>
      </c>
      <c r="G134" s="21">
        <f t="shared" si="4"/>
        <v>1</v>
      </c>
    </row>
    <row r="135" spans="1:7">
      <c r="A135" s="22" t="s">
        <v>383</v>
      </c>
      <c r="B135" s="23" t="s">
        <v>39</v>
      </c>
      <c r="C135" s="21" t="s">
        <v>698</v>
      </c>
      <c r="D135" s="21" t="s">
        <v>621</v>
      </c>
      <c r="E135" s="21" t="s">
        <v>11</v>
      </c>
      <c r="F135" s="24" t="s">
        <v>11</v>
      </c>
      <c r="G135" s="21">
        <f t="shared" si="4"/>
        <v>1</v>
      </c>
    </row>
    <row r="136" spans="1:7">
      <c r="A136" s="22" t="s">
        <v>386</v>
      </c>
      <c r="B136" s="23" t="s">
        <v>39</v>
      </c>
      <c r="C136" s="21" t="s">
        <v>698</v>
      </c>
      <c r="D136" s="21" t="s">
        <v>621</v>
      </c>
      <c r="E136" s="21" t="s">
        <v>26</v>
      </c>
      <c r="F136" s="24" t="s">
        <v>26</v>
      </c>
      <c r="G136" s="21">
        <f t="shared" si="4"/>
        <v>1</v>
      </c>
    </row>
    <row r="137" spans="1:7">
      <c r="A137" s="22" t="s">
        <v>388</v>
      </c>
      <c r="B137" s="23" t="s">
        <v>39</v>
      </c>
      <c r="C137" s="21" t="s">
        <v>698</v>
      </c>
      <c r="D137" s="21" t="s">
        <v>621</v>
      </c>
      <c r="E137" s="21" t="s">
        <v>17</v>
      </c>
      <c r="F137" s="24" t="s">
        <v>17</v>
      </c>
      <c r="G137" s="21">
        <f t="shared" si="4"/>
        <v>1</v>
      </c>
    </row>
    <row r="138" spans="1:7">
      <c r="A138" s="22" t="s">
        <v>390</v>
      </c>
      <c r="B138" s="23" t="s">
        <v>39</v>
      </c>
      <c r="C138" s="21" t="s">
        <v>698</v>
      </c>
      <c r="D138" s="21" t="s">
        <v>621</v>
      </c>
      <c r="E138" s="21" t="s">
        <v>30</v>
      </c>
      <c r="F138" s="24" t="s">
        <v>17</v>
      </c>
      <c r="G138" s="21">
        <f t="shared" si="4"/>
        <v>0</v>
      </c>
    </row>
    <row r="139" spans="1:7">
      <c r="A139" s="22" t="s">
        <v>393</v>
      </c>
      <c r="B139" s="23" t="s">
        <v>39</v>
      </c>
      <c r="C139" s="21" t="s">
        <v>698</v>
      </c>
      <c r="D139" s="21" t="s">
        <v>621</v>
      </c>
      <c r="E139" s="21" t="s">
        <v>11</v>
      </c>
      <c r="F139" s="24" t="s">
        <v>11</v>
      </c>
      <c r="G139" s="21">
        <f t="shared" si="4"/>
        <v>1</v>
      </c>
    </row>
    <row r="140" spans="1:7">
      <c r="A140" s="22" t="s">
        <v>396</v>
      </c>
      <c r="B140" s="23" t="s">
        <v>39</v>
      </c>
      <c r="C140" s="21" t="s">
        <v>698</v>
      </c>
      <c r="D140" s="21" t="s">
        <v>621</v>
      </c>
      <c r="E140" s="21" t="s">
        <v>17</v>
      </c>
      <c r="F140" s="24" t="s">
        <v>26</v>
      </c>
      <c r="G140" s="21">
        <f t="shared" si="4"/>
        <v>0</v>
      </c>
    </row>
    <row r="141" spans="1:7">
      <c r="A141" s="22" t="s">
        <v>399</v>
      </c>
      <c r="B141" s="23" t="s">
        <v>69</v>
      </c>
      <c r="C141" s="21" t="s">
        <v>698</v>
      </c>
      <c r="D141" s="21" t="s">
        <v>621</v>
      </c>
      <c r="E141" s="21" t="s">
        <v>17</v>
      </c>
      <c r="F141" s="24" t="s">
        <v>17</v>
      </c>
      <c r="G141" s="21">
        <f t="shared" si="4"/>
        <v>1</v>
      </c>
    </row>
    <row r="142" spans="1:7">
      <c r="A142" s="22" t="s">
        <v>401</v>
      </c>
      <c r="B142" s="23" t="s">
        <v>69</v>
      </c>
      <c r="C142" s="21" t="s">
        <v>698</v>
      </c>
      <c r="D142" s="21" t="s">
        <v>621</v>
      </c>
      <c r="E142" s="21" t="s">
        <v>17</v>
      </c>
      <c r="F142" s="24" t="s">
        <v>26</v>
      </c>
      <c r="G142" s="21">
        <f t="shared" si="4"/>
        <v>0</v>
      </c>
    </row>
    <row r="143" spans="1:7">
      <c r="A143" s="22" t="s">
        <v>404</v>
      </c>
      <c r="B143" s="23" t="s">
        <v>69</v>
      </c>
      <c r="C143" s="21" t="s">
        <v>698</v>
      </c>
      <c r="D143" s="21" t="s">
        <v>621</v>
      </c>
      <c r="E143" s="21" t="s">
        <v>17</v>
      </c>
      <c r="F143" s="24" t="s">
        <v>17</v>
      </c>
      <c r="G143" s="21">
        <f t="shared" si="4"/>
        <v>1</v>
      </c>
    </row>
    <row r="144" spans="1:7">
      <c r="A144" s="22" t="s">
        <v>407</v>
      </c>
      <c r="B144" s="23" t="s">
        <v>69</v>
      </c>
      <c r="C144" s="21" t="s">
        <v>698</v>
      </c>
      <c r="D144" s="21" t="s">
        <v>621</v>
      </c>
      <c r="E144" s="21" t="s">
        <v>11</v>
      </c>
      <c r="F144" s="24" t="s">
        <v>83</v>
      </c>
      <c r="G144" s="21">
        <f t="shared" si="4"/>
        <v>0</v>
      </c>
    </row>
    <row r="145" spans="1:10">
      <c r="A145" s="22" t="s">
        <v>410</v>
      </c>
      <c r="B145" s="23" t="s">
        <v>69</v>
      </c>
      <c r="C145" s="21" t="s">
        <v>698</v>
      </c>
      <c r="D145" s="21" t="s">
        <v>621</v>
      </c>
      <c r="E145" s="21" t="s">
        <v>26</v>
      </c>
      <c r="F145" s="24" t="s">
        <v>26</v>
      </c>
      <c r="G145" s="21">
        <f t="shared" si="4"/>
        <v>1</v>
      </c>
    </row>
    <row r="146" spans="1:10">
      <c r="A146" s="22" t="s">
        <v>413</v>
      </c>
      <c r="B146" s="23" t="s">
        <v>69</v>
      </c>
      <c r="C146" s="21" t="s">
        <v>698</v>
      </c>
      <c r="D146" s="21" t="s">
        <v>621</v>
      </c>
      <c r="E146" s="21" t="s">
        <v>30</v>
      </c>
      <c r="F146" s="24" t="s">
        <v>26</v>
      </c>
      <c r="G146" s="21">
        <f t="shared" si="4"/>
        <v>0</v>
      </c>
    </row>
    <row r="147" spans="1:10">
      <c r="A147" s="22" t="s">
        <v>416</v>
      </c>
      <c r="B147" s="23" t="s">
        <v>69</v>
      </c>
      <c r="C147" s="21" t="s">
        <v>698</v>
      </c>
      <c r="D147" s="21" t="s">
        <v>621</v>
      </c>
      <c r="E147" s="21" t="s">
        <v>30</v>
      </c>
      <c r="F147" s="24" t="s">
        <v>30</v>
      </c>
      <c r="G147" s="21">
        <f t="shared" si="4"/>
        <v>1</v>
      </c>
    </row>
    <row r="148" spans="1:10">
      <c r="A148" s="22" t="s">
        <v>419</v>
      </c>
      <c r="B148" s="23" t="s">
        <v>69</v>
      </c>
      <c r="C148" s="21" t="s">
        <v>698</v>
      </c>
      <c r="D148" s="21" t="s">
        <v>621</v>
      </c>
      <c r="E148" s="21" t="s">
        <v>30</v>
      </c>
      <c r="F148" s="24" t="s">
        <v>30</v>
      </c>
      <c r="G148" s="21">
        <f t="shared" si="4"/>
        <v>1</v>
      </c>
    </row>
    <row r="149" spans="1:10">
      <c r="A149" s="22" t="s">
        <v>422</v>
      </c>
      <c r="B149" s="23" t="s">
        <v>69</v>
      </c>
      <c r="C149" s="21" t="s">
        <v>698</v>
      </c>
      <c r="D149" s="21" t="s">
        <v>621</v>
      </c>
      <c r="E149" s="21" t="s">
        <v>30</v>
      </c>
      <c r="F149" s="24" t="s">
        <v>26</v>
      </c>
      <c r="G149" s="21">
        <f t="shared" si="4"/>
        <v>0</v>
      </c>
    </row>
    <row r="150" spans="1:10">
      <c r="A150" s="22" t="s">
        <v>425</v>
      </c>
      <c r="B150" s="23" t="s">
        <v>69</v>
      </c>
      <c r="C150" s="21" t="s">
        <v>698</v>
      </c>
      <c r="D150" s="21" t="s">
        <v>621</v>
      </c>
      <c r="E150" s="21" t="s">
        <v>17</v>
      </c>
      <c r="F150" s="24" t="s">
        <v>11</v>
      </c>
      <c r="G150" s="21">
        <f t="shared" si="4"/>
        <v>0</v>
      </c>
    </row>
    <row r="151" spans="1:10">
      <c r="A151" s="22" t="s">
        <v>428</v>
      </c>
      <c r="B151" s="23" t="s">
        <v>69</v>
      </c>
      <c r="C151" s="21" t="s">
        <v>698</v>
      </c>
      <c r="D151" s="21" t="s">
        <v>621</v>
      </c>
      <c r="E151" s="21" t="s">
        <v>26</v>
      </c>
      <c r="F151" s="24" t="s">
        <v>26</v>
      </c>
      <c r="G151" s="21">
        <f t="shared" si="4"/>
        <v>1</v>
      </c>
    </row>
    <row r="152" spans="1:10">
      <c r="A152" s="22" t="s">
        <v>431</v>
      </c>
      <c r="B152" s="23" t="s">
        <v>69</v>
      </c>
      <c r="C152" s="21" t="s">
        <v>698</v>
      </c>
      <c r="D152" s="21" t="s">
        <v>621</v>
      </c>
      <c r="E152" s="21" t="s">
        <v>26</v>
      </c>
      <c r="F152" s="24" t="s">
        <v>26</v>
      </c>
      <c r="G152" s="21">
        <f t="shared" si="4"/>
        <v>1</v>
      </c>
    </row>
    <row r="153" spans="1:10">
      <c r="A153" s="22" t="s">
        <v>434</v>
      </c>
      <c r="B153" s="23" t="s">
        <v>69</v>
      </c>
      <c r="C153" s="21" t="s">
        <v>698</v>
      </c>
      <c r="D153" s="21" t="s">
        <v>621</v>
      </c>
      <c r="E153" s="21" t="s">
        <v>17</v>
      </c>
      <c r="F153" s="24" t="s">
        <v>17</v>
      </c>
      <c r="G153" s="21">
        <f t="shared" si="4"/>
        <v>1</v>
      </c>
    </row>
    <row r="154" spans="1:10">
      <c r="A154" s="22" t="s">
        <v>437</v>
      </c>
      <c r="B154" s="23" t="s">
        <v>69</v>
      </c>
      <c r="C154" s="21" t="s">
        <v>698</v>
      </c>
      <c r="D154" s="21" t="s">
        <v>621</v>
      </c>
      <c r="E154" s="21" t="s">
        <v>26</v>
      </c>
      <c r="F154" s="24" t="s">
        <v>26</v>
      </c>
      <c r="G154" s="21">
        <f t="shared" si="4"/>
        <v>1</v>
      </c>
    </row>
    <row r="155" spans="1:10">
      <c r="A155" s="22" t="s">
        <v>440</v>
      </c>
      <c r="B155" s="23" t="s">
        <v>69</v>
      </c>
      <c r="C155" s="21" t="s">
        <v>698</v>
      </c>
      <c r="D155" s="21" t="s">
        <v>621</v>
      </c>
      <c r="E155" s="21" t="s">
        <v>17</v>
      </c>
      <c r="F155" s="24" t="s">
        <v>30</v>
      </c>
      <c r="G155" s="21">
        <f t="shared" si="4"/>
        <v>0</v>
      </c>
    </row>
    <row r="156" spans="1:10">
      <c r="A156" s="38" t="s">
        <v>443</v>
      </c>
      <c r="B156" s="39" t="s">
        <v>69</v>
      </c>
      <c r="C156" s="21" t="s">
        <v>698</v>
      </c>
      <c r="D156" s="21" t="s">
        <v>621</v>
      </c>
      <c r="E156" s="21" t="s">
        <v>26</v>
      </c>
      <c r="F156" s="40" t="s">
        <v>26</v>
      </c>
      <c r="G156" s="21">
        <f t="shared" si="4"/>
        <v>1</v>
      </c>
      <c r="J156" s="41"/>
    </row>
    <row r="157" spans="1:10">
      <c r="A157" s="21" t="s">
        <v>446</v>
      </c>
      <c r="B157" s="21" t="s">
        <v>135</v>
      </c>
      <c r="C157" s="21" t="s">
        <v>698</v>
      </c>
      <c r="D157" s="21" t="s">
        <v>626</v>
      </c>
      <c r="E157" s="42">
        <v>-2</v>
      </c>
      <c r="F157" s="42">
        <v>-2</v>
      </c>
      <c r="G157" s="43">
        <v>1</v>
      </c>
    </row>
    <row r="158" spans="1:10">
      <c r="A158" s="21" t="s">
        <v>449</v>
      </c>
      <c r="B158" s="21" t="s">
        <v>135</v>
      </c>
      <c r="C158" s="21" t="s">
        <v>698</v>
      </c>
      <c r="D158" s="21" t="s">
        <v>626</v>
      </c>
      <c r="E158" s="42" t="s">
        <v>451</v>
      </c>
      <c r="F158" s="42" t="s">
        <v>451</v>
      </c>
      <c r="G158" s="43">
        <v>1</v>
      </c>
    </row>
    <row r="159" spans="1:10">
      <c r="A159" s="21" t="s">
        <v>452</v>
      </c>
      <c r="B159" s="21" t="s">
        <v>135</v>
      </c>
      <c r="C159" s="21" t="s">
        <v>698</v>
      </c>
      <c r="D159" s="21" t="s">
        <v>626</v>
      </c>
      <c r="E159" s="44" t="s">
        <v>454</v>
      </c>
      <c r="F159" s="44" t="s">
        <v>454</v>
      </c>
      <c r="G159" s="43">
        <v>1</v>
      </c>
    </row>
    <row r="160" spans="1:10">
      <c r="A160" s="21" t="s">
        <v>455</v>
      </c>
      <c r="B160" s="21" t="s">
        <v>135</v>
      </c>
      <c r="C160" s="21" t="s">
        <v>698</v>
      </c>
      <c r="D160" s="21" t="s">
        <v>626</v>
      </c>
      <c r="E160" s="42" t="s">
        <v>457</v>
      </c>
      <c r="F160" s="42" t="s">
        <v>457</v>
      </c>
      <c r="G160" s="43">
        <v>1</v>
      </c>
    </row>
    <row r="161" spans="1:7">
      <c r="A161" s="21" t="s">
        <v>458</v>
      </c>
      <c r="B161" s="21" t="s">
        <v>135</v>
      </c>
      <c r="C161" s="21" t="s">
        <v>698</v>
      </c>
      <c r="D161" s="21" t="s">
        <v>626</v>
      </c>
      <c r="E161" s="44" t="s">
        <v>460</v>
      </c>
      <c r="F161" s="44" t="s">
        <v>460</v>
      </c>
      <c r="G161" s="43">
        <v>1</v>
      </c>
    </row>
    <row r="162" spans="1:7">
      <c r="A162" s="21" t="s">
        <v>461</v>
      </c>
      <c r="B162" s="21" t="s">
        <v>135</v>
      </c>
      <c r="C162" s="21" t="s">
        <v>698</v>
      </c>
      <c r="D162" s="21" t="s">
        <v>626</v>
      </c>
      <c r="E162" s="42" t="s">
        <v>463</v>
      </c>
      <c r="F162" s="42" t="s">
        <v>463</v>
      </c>
      <c r="G162" s="43">
        <v>1</v>
      </c>
    </row>
    <row r="163" spans="1:7">
      <c r="A163" s="21" t="s">
        <v>464</v>
      </c>
      <c r="B163" s="21" t="s">
        <v>135</v>
      </c>
      <c r="C163" s="21" t="s">
        <v>698</v>
      </c>
      <c r="D163" s="21" t="s">
        <v>626</v>
      </c>
      <c r="E163" s="42" t="s">
        <v>466</v>
      </c>
      <c r="F163" s="42" t="s">
        <v>466</v>
      </c>
      <c r="G163" s="43">
        <v>1</v>
      </c>
    </row>
    <row r="164" spans="1:7">
      <c r="A164" s="21" t="s">
        <v>467</v>
      </c>
      <c r="B164" s="21" t="s">
        <v>135</v>
      </c>
      <c r="C164" s="21" t="s">
        <v>698</v>
      </c>
      <c r="D164" s="21" t="s">
        <v>626</v>
      </c>
      <c r="E164" s="42" t="s">
        <v>469</v>
      </c>
      <c r="F164" s="42" t="s">
        <v>469</v>
      </c>
      <c r="G164" s="43">
        <v>1</v>
      </c>
    </row>
    <row r="165" spans="1:7">
      <c r="A165" s="21" t="s">
        <v>470</v>
      </c>
      <c r="B165" s="21" t="s">
        <v>135</v>
      </c>
      <c r="C165" s="21" t="s">
        <v>698</v>
      </c>
      <c r="D165" s="21" t="s">
        <v>626</v>
      </c>
      <c r="E165" s="42" t="s">
        <v>472</v>
      </c>
      <c r="F165" s="42" t="s">
        <v>472</v>
      </c>
      <c r="G165" s="43">
        <v>1</v>
      </c>
    </row>
    <row r="166" ht="46.8" spans="1:7">
      <c r="A166" s="21" t="s">
        <v>473</v>
      </c>
      <c r="B166" s="21" t="s">
        <v>135</v>
      </c>
      <c r="C166" s="21" t="s">
        <v>698</v>
      </c>
      <c r="D166" s="21" t="s">
        <v>626</v>
      </c>
      <c r="E166" s="42" t="s">
        <v>475</v>
      </c>
      <c r="F166" s="42" t="s">
        <v>475</v>
      </c>
      <c r="G166" s="43">
        <v>1</v>
      </c>
    </row>
    <row r="167" spans="1:7">
      <c r="A167" s="21" t="s">
        <v>476</v>
      </c>
      <c r="B167" s="21" t="s">
        <v>135</v>
      </c>
      <c r="C167" s="21" t="s">
        <v>698</v>
      </c>
      <c r="D167" s="21" t="s">
        <v>626</v>
      </c>
      <c r="E167" s="42">
        <v>-2</v>
      </c>
      <c r="F167" s="42">
        <v>-2</v>
      </c>
      <c r="G167" s="43">
        <v>1</v>
      </c>
    </row>
    <row r="168" spans="1:7">
      <c r="A168" s="21" t="s">
        <v>478</v>
      </c>
      <c r="B168" s="21" t="s">
        <v>135</v>
      </c>
      <c r="C168" s="21" t="s">
        <v>698</v>
      </c>
      <c r="D168" s="21" t="s">
        <v>626</v>
      </c>
      <c r="E168" s="42" t="s">
        <v>480</v>
      </c>
      <c r="F168" s="42" t="s">
        <v>480</v>
      </c>
      <c r="G168" s="43">
        <v>1</v>
      </c>
    </row>
    <row r="169" ht="31.2" spans="1:7">
      <c r="A169" s="21" t="s">
        <v>481</v>
      </c>
      <c r="B169" s="21" t="s">
        <v>135</v>
      </c>
      <c r="C169" s="21" t="s">
        <v>698</v>
      </c>
      <c r="D169" s="21" t="s">
        <v>626</v>
      </c>
      <c r="E169" s="42" t="s">
        <v>483</v>
      </c>
      <c r="F169" s="42" t="s">
        <v>483</v>
      </c>
      <c r="G169" s="43">
        <v>1</v>
      </c>
    </row>
    <row r="170" spans="1:7">
      <c r="A170" s="21" t="s">
        <v>484</v>
      </c>
      <c r="B170" s="21" t="s">
        <v>135</v>
      </c>
      <c r="C170" s="21" t="s">
        <v>698</v>
      </c>
      <c r="D170" s="21" t="s">
        <v>626</v>
      </c>
      <c r="E170" s="42">
        <v>504</v>
      </c>
      <c r="F170" s="42">
        <v>504</v>
      </c>
      <c r="G170" s="43">
        <v>1</v>
      </c>
    </row>
    <row r="171" spans="1:7">
      <c r="A171" s="21" t="s">
        <v>486</v>
      </c>
      <c r="B171" s="21" t="s">
        <v>135</v>
      </c>
      <c r="C171" s="21" t="s">
        <v>698</v>
      </c>
      <c r="D171" s="21" t="s">
        <v>626</v>
      </c>
      <c r="E171" s="42" t="s">
        <v>488</v>
      </c>
      <c r="F171" s="42" t="s">
        <v>488</v>
      </c>
      <c r="G171" s="43">
        <v>1</v>
      </c>
    </row>
    <row r="172" spans="1:7">
      <c r="A172" s="21" t="s">
        <v>489</v>
      </c>
      <c r="B172" s="21" t="s">
        <v>135</v>
      </c>
      <c r="C172" s="21" t="s">
        <v>698</v>
      </c>
      <c r="D172" s="21" t="s">
        <v>626</v>
      </c>
      <c r="E172" s="42" t="s">
        <v>491</v>
      </c>
      <c r="F172" s="42" t="s">
        <v>491</v>
      </c>
      <c r="G172" s="43">
        <v>1</v>
      </c>
    </row>
    <row r="173" spans="1:7">
      <c r="A173" s="21" t="s">
        <v>492</v>
      </c>
      <c r="B173" s="21" t="s">
        <v>135</v>
      </c>
      <c r="C173" s="21" t="s">
        <v>698</v>
      </c>
      <c r="D173" s="21" t="s">
        <v>626</v>
      </c>
      <c r="E173" s="42">
        <v>6298.56</v>
      </c>
      <c r="F173" s="42">
        <v>6298.56</v>
      </c>
      <c r="G173" s="43">
        <v>1</v>
      </c>
    </row>
    <row r="174" spans="1:7">
      <c r="A174" s="21" t="s">
        <v>494</v>
      </c>
      <c r="B174" s="21" t="s">
        <v>135</v>
      </c>
      <c r="C174" s="21" t="s">
        <v>698</v>
      </c>
      <c r="D174" s="21" t="s">
        <v>626</v>
      </c>
      <c r="E174" s="42" t="s">
        <v>496</v>
      </c>
      <c r="F174" s="42" t="s">
        <v>496</v>
      </c>
      <c r="G174" s="43">
        <v>1</v>
      </c>
    </row>
    <row r="175" spans="1:7">
      <c r="A175" s="21" t="s">
        <v>497</v>
      </c>
      <c r="B175" s="21" t="s">
        <v>135</v>
      </c>
      <c r="C175" s="21" t="s">
        <v>698</v>
      </c>
      <c r="D175" s="21" t="s">
        <v>626</v>
      </c>
      <c r="E175" s="42" t="s">
        <v>699</v>
      </c>
      <c r="F175" s="42" t="s">
        <v>699</v>
      </c>
      <c r="G175" s="43">
        <v>1</v>
      </c>
    </row>
    <row r="176" spans="1:7">
      <c r="A176" s="21" t="s">
        <v>500</v>
      </c>
      <c r="B176" s="21" t="s">
        <v>135</v>
      </c>
      <c r="C176" s="21" t="s">
        <v>698</v>
      </c>
      <c r="D176" s="21" t="s">
        <v>626</v>
      </c>
      <c r="E176" s="42">
        <v>4</v>
      </c>
      <c r="F176" s="42">
        <v>4</v>
      </c>
      <c r="G176" s="43">
        <v>1</v>
      </c>
    </row>
    <row r="177" ht="31.2" spans="1:7">
      <c r="A177" s="21" t="s">
        <v>502</v>
      </c>
      <c r="B177" s="21" t="s">
        <v>135</v>
      </c>
      <c r="C177" s="21" t="s">
        <v>698</v>
      </c>
      <c r="D177" s="21" t="s">
        <v>626</v>
      </c>
      <c r="E177" s="42" t="s">
        <v>700</v>
      </c>
      <c r="F177" s="42" t="s">
        <v>700</v>
      </c>
      <c r="G177" s="43">
        <v>1</v>
      </c>
    </row>
    <row r="178" ht="31.2" spans="1:7">
      <c r="A178" s="21" t="s">
        <v>505</v>
      </c>
      <c r="B178" s="21" t="s">
        <v>135</v>
      </c>
      <c r="C178" s="21" t="s">
        <v>698</v>
      </c>
      <c r="D178" s="21" t="s">
        <v>626</v>
      </c>
      <c r="E178" s="42" t="s">
        <v>507</v>
      </c>
      <c r="F178" s="42" t="s">
        <v>507</v>
      </c>
      <c r="G178" s="43">
        <v>1</v>
      </c>
    </row>
    <row r="179" spans="1:7">
      <c r="A179" s="21" t="s">
        <v>508</v>
      </c>
      <c r="B179" s="21" t="s">
        <v>135</v>
      </c>
      <c r="C179" s="21" t="s">
        <v>698</v>
      </c>
      <c r="D179" s="21" t="s">
        <v>626</v>
      </c>
      <c r="E179" s="42" t="s">
        <v>510</v>
      </c>
      <c r="F179" s="42" t="s">
        <v>510</v>
      </c>
      <c r="G179" s="43">
        <v>1</v>
      </c>
    </row>
    <row r="180" spans="1:7">
      <c r="A180" s="21" t="s">
        <v>511</v>
      </c>
      <c r="B180" s="21" t="s">
        <v>135</v>
      </c>
      <c r="C180" s="21" t="s">
        <v>698</v>
      </c>
      <c r="D180" s="21" t="s">
        <v>626</v>
      </c>
      <c r="E180" s="44" t="s">
        <v>513</v>
      </c>
      <c r="F180" s="44" t="s">
        <v>513</v>
      </c>
      <c r="G180" s="43">
        <v>1</v>
      </c>
    </row>
    <row r="181" spans="1:7">
      <c r="A181" s="21" t="s">
        <v>514</v>
      </c>
      <c r="B181" s="21" t="s">
        <v>135</v>
      </c>
      <c r="C181" s="21" t="s">
        <v>698</v>
      </c>
      <c r="D181" s="21" t="s">
        <v>626</v>
      </c>
      <c r="E181" s="44" t="s">
        <v>516</v>
      </c>
      <c r="F181" s="44" t="s">
        <v>516</v>
      </c>
      <c r="G181" s="43">
        <v>1</v>
      </c>
    </row>
    <row r="182" spans="1:7">
      <c r="A182" s="21" t="s">
        <v>517</v>
      </c>
      <c r="B182" s="21" t="s">
        <v>135</v>
      </c>
      <c r="C182" s="21" t="s">
        <v>698</v>
      </c>
      <c r="D182" s="21" t="s">
        <v>626</v>
      </c>
      <c r="E182" s="21" t="s">
        <v>701</v>
      </c>
      <c r="F182" s="42" t="s">
        <v>519</v>
      </c>
      <c r="G182" s="43">
        <v>0</v>
      </c>
    </row>
    <row r="183" spans="1:7">
      <c r="A183" s="21" t="s">
        <v>520</v>
      </c>
      <c r="B183" s="21" t="s">
        <v>135</v>
      </c>
      <c r="C183" s="21" t="s">
        <v>698</v>
      </c>
      <c r="D183" s="21" t="s">
        <v>626</v>
      </c>
      <c r="E183" s="44" t="s">
        <v>522</v>
      </c>
      <c r="F183" s="44" t="s">
        <v>522</v>
      </c>
      <c r="G183" s="43">
        <v>1</v>
      </c>
    </row>
    <row r="184" spans="1:7">
      <c r="A184" s="21" t="s">
        <v>523</v>
      </c>
      <c r="B184" s="21" t="s">
        <v>135</v>
      </c>
      <c r="C184" s="21" t="s">
        <v>698</v>
      </c>
      <c r="D184" s="21" t="s">
        <v>626</v>
      </c>
      <c r="E184" s="42">
        <v>22</v>
      </c>
      <c r="F184" s="42">
        <v>22</v>
      </c>
      <c r="G184" s="43">
        <v>1</v>
      </c>
    </row>
    <row r="185" spans="1:7">
      <c r="A185" s="21" t="s">
        <v>525</v>
      </c>
      <c r="B185" s="21" t="s">
        <v>135</v>
      </c>
      <c r="C185" s="21" t="s">
        <v>698</v>
      </c>
      <c r="D185" s="21" t="s">
        <v>626</v>
      </c>
      <c r="E185" s="42" t="s">
        <v>527</v>
      </c>
      <c r="F185" s="42" t="s">
        <v>527</v>
      </c>
      <c r="G185" s="43">
        <v>1</v>
      </c>
    </row>
    <row r="186" spans="1:7">
      <c r="A186" s="21" t="s">
        <v>528</v>
      </c>
      <c r="B186" s="21" t="s">
        <v>135</v>
      </c>
      <c r="C186" s="21" t="s">
        <v>698</v>
      </c>
      <c r="D186" s="21" t="s">
        <v>626</v>
      </c>
      <c r="E186" s="42" t="s">
        <v>530</v>
      </c>
      <c r="F186" s="42" t="s">
        <v>530</v>
      </c>
      <c r="G186" s="43">
        <v>1</v>
      </c>
    </row>
    <row r="187" spans="1:7">
      <c r="A187" s="21" t="s">
        <v>531</v>
      </c>
      <c r="B187" s="21" t="s">
        <v>135</v>
      </c>
      <c r="C187" s="21" t="s">
        <v>698</v>
      </c>
      <c r="D187" s="21" t="s">
        <v>626</v>
      </c>
      <c r="E187" s="44" t="s">
        <v>533</v>
      </c>
      <c r="F187" s="44" t="s">
        <v>533</v>
      </c>
      <c r="G187" s="43">
        <v>1</v>
      </c>
    </row>
    <row r="188" spans="1:7">
      <c r="A188" s="21" t="s">
        <v>534</v>
      </c>
      <c r="B188" s="21" t="s">
        <v>135</v>
      </c>
      <c r="C188" s="21" t="s">
        <v>698</v>
      </c>
      <c r="D188" s="21" t="s">
        <v>626</v>
      </c>
      <c r="E188" s="44" t="s">
        <v>702</v>
      </c>
      <c r="F188" s="44" t="s">
        <v>702</v>
      </c>
      <c r="G188" s="43">
        <v>1</v>
      </c>
    </row>
    <row r="189" spans="1:7">
      <c r="A189" s="21" t="s">
        <v>537</v>
      </c>
      <c r="B189" s="21" t="s">
        <v>135</v>
      </c>
      <c r="C189" s="21" t="s">
        <v>698</v>
      </c>
      <c r="D189" s="21" t="s">
        <v>626</v>
      </c>
      <c r="E189" s="44" t="s">
        <v>539</v>
      </c>
      <c r="F189" s="44" t="s">
        <v>539</v>
      </c>
      <c r="G189" s="43">
        <v>1</v>
      </c>
    </row>
    <row r="190" spans="1:7">
      <c r="A190" s="21" t="s">
        <v>540</v>
      </c>
      <c r="B190" s="21" t="s">
        <v>135</v>
      </c>
      <c r="C190" s="21" t="s">
        <v>698</v>
      </c>
      <c r="D190" s="21" t="s">
        <v>626</v>
      </c>
      <c r="E190" s="42" t="s">
        <v>542</v>
      </c>
      <c r="F190" s="42" t="s">
        <v>542</v>
      </c>
      <c r="G190" s="43">
        <v>1</v>
      </c>
    </row>
    <row r="191" spans="1:7">
      <c r="A191" s="21" t="s">
        <v>543</v>
      </c>
      <c r="B191" s="21" t="s">
        <v>135</v>
      </c>
      <c r="C191" s="21" t="s">
        <v>698</v>
      </c>
      <c r="D191" s="21" t="s">
        <v>626</v>
      </c>
      <c r="E191" s="44" t="s">
        <v>545</v>
      </c>
      <c r="F191" s="44" t="s">
        <v>545</v>
      </c>
      <c r="G191" s="43">
        <v>1</v>
      </c>
    </row>
    <row r="192" spans="1:7">
      <c r="A192" s="21" t="s">
        <v>546</v>
      </c>
      <c r="B192" s="21" t="s">
        <v>135</v>
      </c>
      <c r="C192" s="21" t="s">
        <v>698</v>
      </c>
      <c r="D192" s="21" t="s">
        <v>626</v>
      </c>
      <c r="E192" s="42" t="s">
        <v>548</v>
      </c>
      <c r="F192" s="42" t="s">
        <v>548</v>
      </c>
      <c r="G192" s="43">
        <v>1</v>
      </c>
    </row>
    <row r="193" spans="1:7">
      <c r="A193" s="21" t="s">
        <v>549</v>
      </c>
      <c r="B193" s="21" t="s">
        <v>135</v>
      </c>
      <c r="C193" s="21" t="s">
        <v>698</v>
      </c>
      <c r="D193" s="21" t="s">
        <v>626</v>
      </c>
      <c r="E193" s="44" t="s">
        <v>551</v>
      </c>
      <c r="F193" s="44" t="s">
        <v>551</v>
      </c>
      <c r="G193" s="43">
        <v>1</v>
      </c>
    </row>
    <row r="194" spans="1:7">
      <c r="A194" s="21" t="s">
        <v>552</v>
      </c>
      <c r="B194" s="21" t="s">
        <v>135</v>
      </c>
      <c r="C194" s="21" t="s">
        <v>698</v>
      </c>
      <c r="D194" s="21" t="s">
        <v>626</v>
      </c>
      <c r="E194" s="42" t="s">
        <v>554</v>
      </c>
      <c r="F194" s="42" t="s">
        <v>554</v>
      </c>
      <c r="G194" s="43">
        <v>1</v>
      </c>
    </row>
    <row r="195" spans="1:7">
      <c r="A195" s="21" t="s">
        <v>555</v>
      </c>
      <c r="B195" s="21" t="s">
        <v>135</v>
      </c>
      <c r="C195" s="21" t="s">
        <v>698</v>
      </c>
      <c r="D195" s="21" t="s">
        <v>626</v>
      </c>
      <c r="E195" s="42">
        <v>8</v>
      </c>
      <c r="F195" s="42">
        <v>8</v>
      </c>
      <c r="G195" s="43">
        <v>1</v>
      </c>
    </row>
    <row r="196" spans="1:7">
      <c r="A196" s="21" t="s">
        <v>557</v>
      </c>
      <c r="B196" s="21" t="s">
        <v>135</v>
      </c>
      <c r="C196" s="21" t="s">
        <v>698</v>
      </c>
      <c r="D196" s="21" t="s">
        <v>626</v>
      </c>
      <c r="E196" s="44" t="s">
        <v>559</v>
      </c>
      <c r="F196" s="44" t="s">
        <v>559</v>
      </c>
      <c r="G196" s="43">
        <v>1</v>
      </c>
    </row>
    <row r="197" spans="1:7">
      <c r="A197" s="21" t="s">
        <v>560</v>
      </c>
      <c r="B197" s="21" t="s">
        <v>135</v>
      </c>
      <c r="C197" s="21" t="s">
        <v>698</v>
      </c>
      <c r="D197" s="21" t="s">
        <v>626</v>
      </c>
      <c r="E197" s="42" t="s">
        <v>562</v>
      </c>
      <c r="F197" s="42" t="s">
        <v>562</v>
      </c>
      <c r="G197" s="43">
        <v>1</v>
      </c>
    </row>
    <row r="198" spans="1:7">
      <c r="A198" s="21" t="s">
        <v>563</v>
      </c>
      <c r="B198" s="21" t="s">
        <v>135</v>
      </c>
      <c r="C198" s="21" t="s">
        <v>698</v>
      </c>
      <c r="D198" s="21" t="s">
        <v>626</v>
      </c>
      <c r="E198" s="42" t="s">
        <v>565</v>
      </c>
      <c r="F198" s="42" t="s">
        <v>565</v>
      </c>
      <c r="G198" s="43">
        <v>1</v>
      </c>
    </row>
    <row r="199" spans="1:7">
      <c r="A199" s="21" t="s">
        <v>566</v>
      </c>
      <c r="B199" s="21" t="s">
        <v>135</v>
      </c>
      <c r="C199" s="21" t="s">
        <v>698</v>
      </c>
      <c r="D199" s="21" t="s">
        <v>626</v>
      </c>
      <c r="E199" s="42">
        <v>6</v>
      </c>
      <c r="F199" s="42">
        <v>6</v>
      </c>
      <c r="G199" s="43">
        <v>1</v>
      </c>
    </row>
    <row r="200" spans="1:7">
      <c r="A200" s="21" t="s">
        <v>568</v>
      </c>
      <c r="B200" s="21" t="s">
        <v>135</v>
      </c>
      <c r="C200" s="21" t="s">
        <v>698</v>
      </c>
      <c r="D200" s="21" t="s">
        <v>626</v>
      </c>
      <c r="E200" s="44" t="s">
        <v>570</v>
      </c>
      <c r="F200" s="44" t="s">
        <v>570</v>
      </c>
      <c r="G200" s="43">
        <v>1</v>
      </c>
    </row>
    <row r="201" spans="1:7">
      <c r="A201" s="21" t="s">
        <v>571</v>
      </c>
      <c r="B201" s="21" t="s">
        <v>135</v>
      </c>
      <c r="C201" s="21" t="s">
        <v>698</v>
      </c>
      <c r="D201" s="21" t="s">
        <v>626</v>
      </c>
      <c r="E201" s="42" t="s">
        <v>573</v>
      </c>
      <c r="F201" s="42" t="s">
        <v>573</v>
      </c>
      <c r="G201" s="43">
        <v>1</v>
      </c>
    </row>
    <row r="202" spans="1:7">
      <c r="A202" s="21" t="s">
        <v>574</v>
      </c>
      <c r="B202" s="21" t="s">
        <v>135</v>
      </c>
      <c r="C202" s="21" t="s">
        <v>698</v>
      </c>
      <c r="D202" s="21" t="s">
        <v>626</v>
      </c>
      <c r="E202" s="42" t="s">
        <v>576</v>
      </c>
      <c r="F202" s="42" t="s">
        <v>576</v>
      </c>
      <c r="G202" s="43">
        <v>1</v>
      </c>
    </row>
    <row r="203" spans="1:7">
      <c r="A203" s="21" t="s">
        <v>577</v>
      </c>
      <c r="B203" s="21" t="s">
        <v>135</v>
      </c>
      <c r="C203" s="21" t="s">
        <v>698</v>
      </c>
      <c r="D203" s="21" t="s">
        <v>626</v>
      </c>
      <c r="E203" s="21" t="s">
        <v>646</v>
      </c>
      <c r="F203" s="42" t="s">
        <v>579</v>
      </c>
      <c r="G203" s="43">
        <v>1</v>
      </c>
    </row>
    <row r="204" spans="1:7">
      <c r="A204" s="21" t="s">
        <v>580</v>
      </c>
      <c r="B204" s="21" t="s">
        <v>135</v>
      </c>
      <c r="C204" s="21" t="s">
        <v>698</v>
      </c>
      <c r="D204" s="21" t="s">
        <v>626</v>
      </c>
      <c r="E204" s="42" t="s">
        <v>582</v>
      </c>
      <c r="F204" s="42" t="s">
        <v>582</v>
      </c>
      <c r="G204" s="43">
        <v>1</v>
      </c>
    </row>
    <row r="205" spans="1:7">
      <c r="A205" s="21" t="s">
        <v>583</v>
      </c>
      <c r="B205" s="21" t="s">
        <v>135</v>
      </c>
      <c r="C205" s="21" t="s">
        <v>698</v>
      </c>
      <c r="D205" s="21" t="s">
        <v>626</v>
      </c>
      <c r="E205" s="42" t="s">
        <v>585</v>
      </c>
      <c r="F205" s="42" t="s">
        <v>585</v>
      </c>
      <c r="G205" s="43">
        <v>1</v>
      </c>
    </row>
    <row r="206" ht="62.4" spans="1:7">
      <c r="A206" s="21" t="s">
        <v>586</v>
      </c>
      <c r="B206" s="21" t="s">
        <v>135</v>
      </c>
      <c r="C206" s="21" t="s">
        <v>698</v>
      </c>
      <c r="D206" s="21" t="s">
        <v>626</v>
      </c>
      <c r="E206" s="42" t="s">
        <v>703</v>
      </c>
      <c r="F206" s="42" t="s">
        <v>649</v>
      </c>
      <c r="G206" s="43">
        <v>1</v>
      </c>
    </row>
    <row r="207" spans="1:7">
      <c r="A207" s="21" t="s">
        <v>589</v>
      </c>
      <c r="B207" s="21" t="s">
        <v>135</v>
      </c>
      <c r="C207" s="21" t="s">
        <v>698</v>
      </c>
      <c r="D207" s="21" t="s">
        <v>626</v>
      </c>
      <c r="E207" s="42" t="s">
        <v>591</v>
      </c>
      <c r="F207" s="42" t="s">
        <v>591</v>
      </c>
      <c r="G207" s="43">
        <v>1</v>
      </c>
    </row>
    <row r="208" spans="1:7">
      <c r="A208" s="21" t="s">
        <v>592</v>
      </c>
      <c r="B208" s="21" t="s">
        <v>135</v>
      </c>
      <c r="C208" s="21" t="s">
        <v>698</v>
      </c>
      <c r="D208" s="21" t="s">
        <v>626</v>
      </c>
      <c r="E208" s="42" t="s">
        <v>582</v>
      </c>
      <c r="F208" s="42" t="s">
        <v>582</v>
      </c>
      <c r="G208" s="43">
        <v>1</v>
      </c>
    </row>
    <row r="209" spans="1:7">
      <c r="A209" s="21" t="s">
        <v>594</v>
      </c>
      <c r="B209" s="21" t="s">
        <v>135</v>
      </c>
      <c r="C209" s="21" t="s">
        <v>698</v>
      </c>
      <c r="D209" s="21" t="s">
        <v>626</v>
      </c>
      <c r="E209" s="21" t="s">
        <v>704</v>
      </c>
      <c r="F209" s="21" t="s">
        <v>596</v>
      </c>
      <c r="G209" s="43">
        <v>1</v>
      </c>
    </row>
    <row r="210" spans="1:7">
      <c r="A210" s="21" t="s">
        <v>597</v>
      </c>
      <c r="B210" s="21" t="s">
        <v>135</v>
      </c>
      <c r="C210" s="21" t="s">
        <v>698</v>
      </c>
      <c r="D210" s="21" t="s">
        <v>626</v>
      </c>
      <c r="E210" s="42" t="s">
        <v>530</v>
      </c>
      <c r="F210" s="42" t="s">
        <v>530</v>
      </c>
      <c r="G210" s="43">
        <v>1</v>
      </c>
    </row>
    <row r="211" spans="1:7">
      <c r="A211" s="21" t="s">
        <v>599</v>
      </c>
      <c r="B211" s="21" t="s">
        <v>135</v>
      </c>
      <c r="C211" s="21" t="s">
        <v>698</v>
      </c>
      <c r="D211" s="21" t="s">
        <v>626</v>
      </c>
      <c r="E211" s="42" t="s">
        <v>601</v>
      </c>
      <c r="F211" s="42" t="s">
        <v>601</v>
      </c>
      <c r="G211" s="43">
        <v>1</v>
      </c>
    </row>
    <row r="212" spans="1:7">
      <c r="A212" s="21" t="s">
        <v>602</v>
      </c>
      <c r="B212" s="21" t="s">
        <v>135</v>
      </c>
      <c r="C212" s="21" t="s">
        <v>698</v>
      </c>
      <c r="D212" s="21" t="s">
        <v>626</v>
      </c>
      <c r="E212" s="42" t="s">
        <v>582</v>
      </c>
      <c r="F212" s="42" t="s">
        <v>582</v>
      </c>
      <c r="G212" s="43">
        <v>1</v>
      </c>
    </row>
    <row r="213" ht="31.2" spans="1:7">
      <c r="A213" s="21" t="s">
        <v>604</v>
      </c>
      <c r="B213" s="21" t="s">
        <v>135</v>
      </c>
      <c r="C213" s="21" t="s">
        <v>698</v>
      </c>
      <c r="D213" s="21" t="s">
        <v>626</v>
      </c>
      <c r="E213" s="42" t="s">
        <v>652</v>
      </c>
      <c r="F213" s="42" t="s">
        <v>652</v>
      </c>
      <c r="G213" s="43">
        <v>1</v>
      </c>
    </row>
    <row r="214" spans="1:7">
      <c r="A214" s="21" t="s">
        <v>607</v>
      </c>
      <c r="B214" s="21" t="s">
        <v>135</v>
      </c>
      <c r="C214" s="21" t="s">
        <v>698</v>
      </c>
      <c r="D214" s="21" t="s">
        <v>626</v>
      </c>
      <c r="E214" s="42" t="s">
        <v>609</v>
      </c>
      <c r="F214" s="42" t="s">
        <v>609</v>
      </c>
      <c r="G214" s="43">
        <v>1</v>
      </c>
    </row>
    <row r="215" spans="1:7">
      <c r="A215" s="21" t="s">
        <v>610</v>
      </c>
      <c r="B215" s="21" t="s">
        <v>135</v>
      </c>
      <c r="C215" s="21" t="s">
        <v>698</v>
      </c>
      <c r="D215" s="21" t="s">
        <v>626</v>
      </c>
      <c r="E215" s="42" t="s">
        <v>612</v>
      </c>
      <c r="F215" s="42" t="s">
        <v>612</v>
      </c>
      <c r="G215" s="43">
        <v>1</v>
      </c>
    </row>
    <row r="216" spans="1:7">
      <c r="A216" s="21" t="s">
        <v>613</v>
      </c>
      <c r="B216" s="21" t="s">
        <v>135</v>
      </c>
      <c r="C216" s="21" t="s">
        <v>698</v>
      </c>
      <c r="D216" s="21" t="s">
        <v>626</v>
      </c>
      <c r="E216" s="42" t="s">
        <v>615</v>
      </c>
      <c r="F216" s="42" t="s">
        <v>615</v>
      </c>
      <c r="G216" s="43">
        <v>1</v>
      </c>
    </row>
  </sheetData>
  <mergeCells count="1">
    <mergeCell ref="J10:J11"/>
  </mergeCells>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1"/>
  <sheetViews>
    <sheetView tabSelected="1" zoomScale="77" zoomScaleNormal="77" workbookViewId="0">
      <selection activeCell="A1" sqref="A$1:G$1048576"/>
    </sheetView>
  </sheetViews>
  <sheetFormatPr defaultColWidth="9" defaultRowHeight="14.4"/>
  <cols>
    <col min="1" max="1" width="14.2222222222222" customWidth="1"/>
    <col min="2" max="2" width="11.2222222222222" customWidth="1"/>
    <col min="3" max="3" width="8.77777777777778" customWidth="1"/>
    <col min="4" max="4" width="11.6666666666667" customWidth="1"/>
    <col min="5" max="5" width="32.4444444444444" customWidth="1"/>
    <col min="6" max="6" width="21.8888888888889" customWidth="1"/>
    <col min="7" max="7" width="9.77777777777778" customWidth="1"/>
    <col min="10" max="10" width="9.66666666666667" customWidth="1"/>
    <col min="11" max="11" width="15.5555555555556" customWidth="1"/>
    <col min="12" max="12" width="15.2222222222222" customWidth="1"/>
    <col min="13" max="13" width="17.8888888888889" customWidth="1"/>
    <col min="14" max="14" width="12.8888888888889" customWidth="1"/>
  </cols>
  <sheetData>
    <row r="1" ht="15.6" spans="1:14">
      <c r="A1" s="1" t="s">
        <v>0</v>
      </c>
      <c r="B1" s="1" t="s">
        <v>1</v>
      </c>
      <c r="C1" s="1" t="s">
        <v>616</v>
      </c>
      <c r="D1" s="1" t="s">
        <v>617</v>
      </c>
      <c r="E1" s="1" t="s">
        <v>618</v>
      </c>
      <c r="F1" s="1" t="s">
        <v>6</v>
      </c>
      <c r="G1" s="1" t="s">
        <v>619</v>
      </c>
    </row>
    <row r="2" ht="15.6" customHeight="1" spans="1:14">
      <c r="A2" s="2" t="s">
        <v>446</v>
      </c>
      <c r="B2" s="2" t="s">
        <v>135</v>
      </c>
      <c r="C2" s="3" t="s">
        <v>653</v>
      </c>
      <c r="D2" s="2" t="s">
        <v>626</v>
      </c>
      <c r="E2" s="4">
        <v>-2</v>
      </c>
      <c r="F2" s="4">
        <v>-2</v>
      </c>
      <c r="G2" s="5">
        <v>1</v>
      </c>
    </row>
    <row r="3" ht="15.6" customHeight="1" spans="1:14">
      <c r="A3" s="2" t="s">
        <v>449</v>
      </c>
      <c r="B3" s="2" t="s">
        <v>135</v>
      </c>
      <c r="C3" s="3" t="s">
        <v>653</v>
      </c>
      <c r="D3" s="2" t="s">
        <v>626</v>
      </c>
      <c r="E3" s="4" t="s">
        <v>451</v>
      </c>
      <c r="F3" s="4" t="s">
        <v>451</v>
      </c>
      <c r="G3" s="5">
        <v>1</v>
      </c>
      <c r="K3" s="6" t="s">
        <v>622</v>
      </c>
      <c r="L3" s="6" t="s">
        <v>623</v>
      </c>
      <c r="M3" s="6" t="s">
        <v>624</v>
      </c>
      <c r="N3" s="6" t="s">
        <v>625</v>
      </c>
    </row>
    <row r="4" ht="15.6" customHeight="1" spans="1:14">
      <c r="A4" s="2" t="s">
        <v>452</v>
      </c>
      <c r="B4" s="2" t="s">
        <v>135</v>
      </c>
      <c r="C4" s="3" t="s">
        <v>653</v>
      </c>
      <c r="D4" s="2" t="s">
        <v>626</v>
      </c>
      <c r="E4" s="7" t="s">
        <v>705</v>
      </c>
      <c r="F4" s="7" t="s">
        <v>705</v>
      </c>
      <c r="G4" s="5">
        <v>1</v>
      </c>
      <c r="J4" s="8" t="s">
        <v>706</v>
      </c>
      <c r="K4" s="9">
        <v>60</v>
      </c>
      <c r="L4" s="9">
        <v>30</v>
      </c>
      <c r="M4" s="9">
        <v>30</v>
      </c>
      <c r="N4" s="10">
        <f>L4/K4</f>
        <v>0.5</v>
      </c>
    </row>
    <row r="5" ht="15.6" customHeight="1" spans="1:14">
      <c r="A5" s="2" t="s">
        <v>455</v>
      </c>
      <c r="B5" s="2" t="s">
        <v>135</v>
      </c>
      <c r="C5" s="3" t="s">
        <v>653</v>
      </c>
      <c r="D5" s="2" t="s">
        <v>626</v>
      </c>
      <c r="E5" s="4" t="s">
        <v>457</v>
      </c>
      <c r="F5" s="4" t="s">
        <v>457</v>
      </c>
      <c r="G5" s="5">
        <v>1</v>
      </c>
      <c r="J5" s="8" t="s">
        <v>707</v>
      </c>
      <c r="K5" s="9">
        <v>60</v>
      </c>
      <c r="L5" s="9">
        <f>SUM(Таблица7[Rezultāts])</f>
        <v>41</v>
      </c>
      <c r="M5" s="9">
        <f>K5-L5</f>
        <v>19</v>
      </c>
      <c r="N5" s="10">
        <f>L5/K5</f>
        <v>0.683333333333333</v>
      </c>
    </row>
    <row r="6" ht="15.6" customHeight="1" spans="1:14">
      <c r="A6" s="2" t="s">
        <v>458</v>
      </c>
      <c r="B6" s="2" t="s">
        <v>135</v>
      </c>
      <c r="C6" s="3" t="s">
        <v>653</v>
      </c>
      <c r="D6" s="2" t="s">
        <v>626</v>
      </c>
      <c r="E6" s="7" t="s">
        <v>708</v>
      </c>
      <c r="F6" s="7" t="s">
        <v>708</v>
      </c>
      <c r="G6" s="5">
        <v>1</v>
      </c>
    </row>
    <row r="7" ht="15.6" customHeight="1" spans="1:14">
      <c r="A7" s="11" t="s">
        <v>461</v>
      </c>
      <c r="B7" s="11" t="s">
        <v>135</v>
      </c>
      <c r="C7" s="3" t="s">
        <v>653</v>
      </c>
      <c r="D7" s="11" t="s">
        <v>626</v>
      </c>
      <c r="E7" s="12" t="s">
        <v>709</v>
      </c>
      <c r="F7" s="12" t="s">
        <v>463</v>
      </c>
      <c r="G7" s="13">
        <v>1</v>
      </c>
    </row>
    <row r="8" ht="15.6" customHeight="1" spans="1:14">
      <c r="A8" s="2" t="s">
        <v>464</v>
      </c>
      <c r="B8" s="2" t="s">
        <v>135</v>
      </c>
      <c r="C8" s="3" t="s">
        <v>653</v>
      </c>
      <c r="D8" s="2" t="s">
        <v>626</v>
      </c>
      <c r="E8" s="7" t="s">
        <v>466</v>
      </c>
      <c r="F8" s="7" t="s">
        <v>466</v>
      </c>
      <c r="G8" s="5">
        <v>1</v>
      </c>
    </row>
    <row r="9" ht="15.6" customHeight="1" spans="1:14">
      <c r="A9" s="2" t="s">
        <v>467</v>
      </c>
      <c r="B9" s="2" t="s">
        <v>135</v>
      </c>
      <c r="C9" s="3" t="s">
        <v>653</v>
      </c>
      <c r="D9" s="2" t="s">
        <v>626</v>
      </c>
      <c r="E9" s="4" t="s">
        <v>469</v>
      </c>
      <c r="F9" s="4" t="s">
        <v>469</v>
      </c>
      <c r="G9" s="5">
        <v>1</v>
      </c>
    </row>
    <row r="10" ht="15.6" customHeight="1" spans="1:14">
      <c r="A10" s="2" t="s">
        <v>470</v>
      </c>
      <c r="B10" s="2" t="s">
        <v>135</v>
      </c>
      <c r="C10" s="3" t="s">
        <v>653</v>
      </c>
      <c r="D10" s="2" t="s">
        <v>626</v>
      </c>
      <c r="E10" s="4" t="s">
        <v>472</v>
      </c>
      <c r="F10" s="4" t="s">
        <v>472</v>
      </c>
      <c r="G10" s="5">
        <v>1</v>
      </c>
    </row>
    <row r="11" ht="15.6" customHeight="1" spans="1:14">
      <c r="A11" s="2" t="s">
        <v>473</v>
      </c>
      <c r="B11" s="2" t="s">
        <v>135</v>
      </c>
      <c r="C11" s="3" t="s">
        <v>653</v>
      </c>
      <c r="D11" s="2" t="s">
        <v>626</v>
      </c>
      <c r="E11" s="7" t="s">
        <v>710</v>
      </c>
      <c r="F11" s="7" t="s">
        <v>711</v>
      </c>
      <c r="G11" s="5">
        <v>0</v>
      </c>
    </row>
    <row r="12" ht="15.6" customHeight="1" spans="1:14">
      <c r="A12" s="2" t="s">
        <v>476</v>
      </c>
      <c r="B12" s="2" t="s">
        <v>135</v>
      </c>
      <c r="C12" s="3" t="s">
        <v>653</v>
      </c>
      <c r="D12" s="2" t="s">
        <v>626</v>
      </c>
      <c r="E12" s="4">
        <v>-2</v>
      </c>
      <c r="F12" s="4">
        <v>-2</v>
      </c>
      <c r="G12" s="5">
        <v>1</v>
      </c>
    </row>
    <row r="13" ht="15.6" customHeight="1" spans="1:14">
      <c r="A13" s="2" t="s">
        <v>478</v>
      </c>
      <c r="B13" s="2" t="s">
        <v>135</v>
      </c>
      <c r="C13" s="3" t="s">
        <v>653</v>
      </c>
      <c r="D13" s="2" t="s">
        <v>626</v>
      </c>
      <c r="E13" s="14" t="s">
        <v>712</v>
      </c>
      <c r="F13" s="4" t="s">
        <v>480</v>
      </c>
      <c r="G13" s="5">
        <v>0</v>
      </c>
    </row>
    <row r="14" ht="15.6" customHeight="1" spans="1:14">
      <c r="A14" s="2" t="s">
        <v>481</v>
      </c>
      <c r="B14" s="2" t="s">
        <v>135</v>
      </c>
      <c r="C14" s="3" t="s">
        <v>653</v>
      </c>
      <c r="D14" s="2" t="s">
        <v>626</v>
      </c>
      <c r="E14" s="4" t="s">
        <v>713</v>
      </c>
      <c r="F14" s="4" t="s">
        <v>483</v>
      </c>
      <c r="G14" s="5">
        <v>0</v>
      </c>
    </row>
    <row r="15" ht="15.6" customHeight="1" spans="1:14">
      <c r="A15" s="2" t="s">
        <v>484</v>
      </c>
      <c r="B15" s="2" t="s">
        <v>135</v>
      </c>
      <c r="C15" s="3" t="s">
        <v>653</v>
      </c>
      <c r="D15" s="2" t="s">
        <v>626</v>
      </c>
      <c r="E15" s="4" t="s">
        <v>714</v>
      </c>
      <c r="F15" s="4">
        <v>504</v>
      </c>
      <c r="G15" s="5">
        <v>0</v>
      </c>
    </row>
    <row r="16" ht="15.6" customHeight="1" spans="1:14">
      <c r="A16" s="2" t="s">
        <v>486</v>
      </c>
      <c r="B16" s="2" t="s">
        <v>135</v>
      </c>
      <c r="C16" s="3" t="s">
        <v>653</v>
      </c>
      <c r="D16" s="2" t="s">
        <v>626</v>
      </c>
      <c r="E16" s="4" t="s">
        <v>488</v>
      </c>
      <c r="F16" s="4" t="s">
        <v>488</v>
      </c>
      <c r="G16" s="3">
        <v>1</v>
      </c>
    </row>
    <row r="17" ht="15.6" customHeight="1" spans="1:7">
      <c r="A17" s="2" t="s">
        <v>489</v>
      </c>
      <c r="B17" s="2" t="s">
        <v>135</v>
      </c>
      <c r="C17" s="3" t="s">
        <v>653</v>
      </c>
      <c r="D17" s="2" t="s">
        <v>626</v>
      </c>
      <c r="E17" s="4" t="s">
        <v>715</v>
      </c>
      <c r="F17" s="4" t="s">
        <v>491</v>
      </c>
      <c r="G17" s="5">
        <v>0</v>
      </c>
    </row>
    <row r="18" ht="15.6" customHeight="1" spans="1:7">
      <c r="A18" s="2" t="s">
        <v>492</v>
      </c>
      <c r="B18" s="2" t="s">
        <v>135</v>
      </c>
      <c r="C18" s="3" t="s">
        <v>653</v>
      </c>
      <c r="D18" s="2" t="s">
        <v>626</v>
      </c>
      <c r="E18" s="4">
        <v>6298.56</v>
      </c>
      <c r="F18" s="4">
        <v>6298.56</v>
      </c>
      <c r="G18" s="5">
        <v>1</v>
      </c>
    </row>
    <row r="19" ht="15.6" customHeight="1" spans="1:7">
      <c r="A19" s="2" t="s">
        <v>494</v>
      </c>
      <c r="B19" s="2" t="s">
        <v>135</v>
      </c>
      <c r="C19" s="3" t="s">
        <v>653</v>
      </c>
      <c r="D19" s="2" t="s">
        <v>626</v>
      </c>
      <c r="E19" s="4" t="s">
        <v>496</v>
      </c>
      <c r="F19" s="4" t="s">
        <v>496</v>
      </c>
      <c r="G19" s="5">
        <v>1</v>
      </c>
    </row>
    <row r="20" ht="15.6" customHeight="1" spans="1:7">
      <c r="A20" s="2" t="s">
        <v>497</v>
      </c>
      <c r="B20" s="2" t="s">
        <v>135</v>
      </c>
      <c r="C20" s="3" t="s">
        <v>653</v>
      </c>
      <c r="D20" s="2" t="s">
        <v>626</v>
      </c>
      <c r="E20" s="15">
        <v>45</v>
      </c>
      <c r="F20" s="4" t="s">
        <v>633</v>
      </c>
      <c r="G20" s="5">
        <v>0</v>
      </c>
    </row>
    <row r="21" ht="15.6" customHeight="1" spans="1:7">
      <c r="A21" s="2" t="s">
        <v>500</v>
      </c>
      <c r="B21" s="2" t="s">
        <v>135</v>
      </c>
      <c r="C21" s="3" t="s">
        <v>653</v>
      </c>
      <c r="D21" s="2" t="s">
        <v>626</v>
      </c>
      <c r="E21" s="4">
        <v>4</v>
      </c>
      <c r="F21" s="4">
        <v>4</v>
      </c>
      <c r="G21" s="5">
        <v>1</v>
      </c>
    </row>
    <row r="22" ht="15.6" customHeight="1" spans="1:7">
      <c r="A22" s="2" t="s">
        <v>502</v>
      </c>
      <c r="B22" s="2" t="s">
        <v>135</v>
      </c>
      <c r="C22" s="3" t="s">
        <v>653</v>
      </c>
      <c r="D22" s="2" t="s">
        <v>626</v>
      </c>
      <c r="E22" s="4" t="s">
        <v>716</v>
      </c>
      <c r="F22" s="4" t="s">
        <v>716</v>
      </c>
      <c r="G22" s="5">
        <v>1</v>
      </c>
    </row>
    <row r="23" ht="15.6" customHeight="1" spans="1:7">
      <c r="A23" s="2" t="s">
        <v>505</v>
      </c>
      <c r="B23" s="2" t="s">
        <v>135</v>
      </c>
      <c r="C23" s="3" t="s">
        <v>653</v>
      </c>
      <c r="D23" s="2" t="s">
        <v>626</v>
      </c>
      <c r="E23" s="4" t="s">
        <v>717</v>
      </c>
      <c r="F23" s="4" t="s">
        <v>507</v>
      </c>
      <c r="G23" s="5">
        <v>0</v>
      </c>
    </row>
    <row r="24" ht="15.6" customHeight="1" spans="1:7">
      <c r="A24" s="2" t="s">
        <v>508</v>
      </c>
      <c r="B24" s="2" t="s">
        <v>135</v>
      </c>
      <c r="C24" s="3" t="s">
        <v>653</v>
      </c>
      <c r="D24" s="2" t="s">
        <v>626</v>
      </c>
      <c r="E24" s="4" t="s">
        <v>718</v>
      </c>
      <c r="F24" s="4" t="s">
        <v>510</v>
      </c>
      <c r="G24" s="5">
        <v>0</v>
      </c>
    </row>
    <row r="25" ht="15.6" customHeight="1" spans="1:7">
      <c r="A25" s="2" t="s">
        <v>511</v>
      </c>
      <c r="B25" s="2" t="s">
        <v>135</v>
      </c>
      <c r="C25" s="3" t="s">
        <v>653</v>
      </c>
      <c r="D25" s="2" t="s">
        <v>626</v>
      </c>
      <c r="E25" s="7" t="s">
        <v>513</v>
      </c>
      <c r="F25" s="7" t="s">
        <v>513</v>
      </c>
      <c r="G25" s="5">
        <v>1</v>
      </c>
    </row>
    <row r="26" ht="15.6" customHeight="1" spans="1:7">
      <c r="A26" s="2" t="s">
        <v>514</v>
      </c>
      <c r="B26" s="2" t="s">
        <v>135</v>
      </c>
      <c r="C26" s="3" t="s">
        <v>653</v>
      </c>
      <c r="D26" s="2" t="s">
        <v>626</v>
      </c>
      <c r="E26" s="7" t="s">
        <v>516</v>
      </c>
      <c r="F26" s="7" t="s">
        <v>516</v>
      </c>
      <c r="G26" s="5">
        <v>1</v>
      </c>
    </row>
    <row r="27" ht="15.6" customHeight="1" spans="1:7">
      <c r="A27" s="2" t="s">
        <v>517</v>
      </c>
      <c r="B27" s="2" t="s">
        <v>135</v>
      </c>
      <c r="C27" s="3" t="s">
        <v>653</v>
      </c>
      <c r="D27" s="2" t="s">
        <v>626</v>
      </c>
      <c r="E27" s="4" t="s">
        <v>719</v>
      </c>
      <c r="F27" s="4" t="s">
        <v>719</v>
      </c>
      <c r="G27" s="5">
        <v>1</v>
      </c>
    </row>
    <row r="28" ht="15.6" customHeight="1" spans="1:7">
      <c r="A28" s="2" t="s">
        <v>520</v>
      </c>
      <c r="B28" s="2" t="s">
        <v>135</v>
      </c>
      <c r="C28" s="3" t="s">
        <v>653</v>
      </c>
      <c r="D28" s="2" t="s">
        <v>626</v>
      </c>
      <c r="E28" s="7" t="s">
        <v>720</v>
      </c>
      <c r="F28" s="7" t="s">
        <v>720</v>
      </c>
      <c r="G28" s="5">
        <v>1</v>
      </c>
    </row>
    <row r="29" ht="15.6" customHeight="1" spans="1:7">
      <c r="A29" s="2" t="s">
        <v>523</v>
      </c>
      <c r="B29" s="2" t="s">
        <v>135</v>
      </c>
      <c r="C29" s="3" t="s">
        <v>653</v>
      </c>
      <c r="D29" s="2" t="s">
        <v>626</v>
      </c>
      <c r="E29" s="4">
        <v>22</v>
      </c>
      <c r="F29" s="4">
        <v>22</v>
      </c>
      <c r="G29" s="5">
        <v>1</v>
      </c>
    </row>
    <row r="30" ht="15.6" customHeight="1" spans="1:7">
      <c r="A30" s="2" t="s">
        <v>525</v>
      </c>
      <c r="B30" s="2" t="s">
        <v>135</v>
      </c>
      <c r="C30" s="3" t="s">
        <v>653</v>
      </c>
      <c r="D30" s="2" t="s">
        <v>626</v>
      </c>
      <c r="E30" s="4" t="s">
        <v>721</v>
      </c>
      <c r="F30" s="4" t="s">
        <v>722</v>
      </c>
      <c r="G30" s="5">
        <v>0</v>
      </c>
    </row>
    <row r="31" ht="15.6" customHeight="1" spans="1:7">
      <c r="A31" s="2" t="s">
        <v>528</v>
      </c>
      <c r="B31" s="2" t="s">
        <v>135</v>
      </c>
      <c r="C31" s="3" t="s">
        <v>653</v>
      </c>
      <c r="D31" s="2" t="s">
        <v>626</v>
      </c>
      <c r="E31" s="4" t="s">
        <v>530</v>
      </c>
      <c r="F31" s="4" t="s">
        <v>530</v>
      </c>
      <c r="G31" s="5">
        <v>1</v>
      </c>
    </row>
    <row r="32" ht="15.6" customHeight="1" spans="1:7">
      <c r="A32" s="2" t="s">
        <v>531</v>
      </c>
      <c r="B32" s="2" t="s">
        <v>135</v>
      </c>
      <c r="C32" s="3" t="s">
        <v>653</v>
      </c>
      <c r="D32" s="2" t="s">
        <v>626</v>
      </c>
      <c r="E32" s="7" t="s">
        <v>723</v>
      </c>
      <c r="F32" s="7" t="s">
        <v>723</v>
      </c>
      <c r="G32" s="5">
        <v>1</v>
      </c>
    </row>
    <row r="33" ht="15.6" customHeight="1" spans="1:7">
      <c r="A33" s="2" t="s">
        <v>534</v>
      </c>
      <c r="B33" s="2" t="s">
        <v>135</v>
      </c>
      <c r="C33" s="3" t="s">
        <v>653</v>
      </c>
      <c r="D33" s="2" t="s">
        <v>626</v>
      </c>
      <c r="E33" s="7" t="s">
        <v>724</v>
      </c>
      <c r="F33" s="7" t="s">
        <v>724</v>
      </c>
      <c r="G33" s="5">
        <v>1</v>
      </c>
    </row>
    <row r="34" ht="15.6" customHeight="1" spans="1:7">
      <c r="A34" s="2" t="s">
        <v>537</v>
      </c>
      <c r="B34" s="2" t="s">
        <v>135</v>
      </c>
      <c r="C34" s="3" t="s">
        <v>653</v>
      </c>
      <c r="D34" s="2" t="s">
        <v>626</v>
      </c>
      <c r="E34" s="7" t="s">
        <v>725</v>
      </c>
      <c r="F34" s="7" t="s">
        <v>726</v>
      </c>
      <c r="G34" s="5">
        <v>0</v>
      </c>
    </row>
    <row r="35" ht="15.6" customHeight="1" spans="1:7">
      <c r="A35" s="2" t="s">
        <v>540</v>
      </c>
      <c r="B35" s="2" t="s">
        <v>135</v>
      </c>
      <c r="C35" s="3" t="s">
        <v>653</v>
      </c>
      <c r="D35" s="2" t="s">
        <v>626</v>
      </c>
      <c r="E35" s="16" t="s">
        <v>672</v>
      </c>
      <c r="F35" s="4" t="s">
        <v>542</v>
      </c>
      <c r="G35" s="5">
        <v>0</v>
      </c>
    </row>
    <row r="36" ht="15.6" customHeight="1" spans="1:7">
      <c r="A36" s="2" t="s">
        <v>543</v>
      </c>
      <c r="B36" s="2" t="s">
        <v>135</v>
      </c>
      <c r="C36" s="3" t="s">
        <v>653</v>
      </c>
      <c r="D36" s="2" t="s">
        <v>626</v>
      </c>
      <c r="E36" s="7" t="s">
        <v>545</v>
      </c>
      <c r="F36" s="7" t="s">
        <v>545</v>
      </c>
      <c r="G36" s="5">
        <v>1</v>
      </c>
    </row>
    <row r="37" ht="15.6" customHeight="1" spans="1:7">
      <c r="A37" s="2" t="s">
        <v>546</v>
      </c>
      <c r="B37" s="2" t="s">
        <v>135</v>
      </c>
      <c r="C37" s="3" t="s">
        <v>653</v>
      </c>
      <c r="D37" s="2" t="s">
        <v>626</v>
      </c>
      <c r="E37" s="4" t="s">
        <v>548</v>
      </c>
      <c r="F37" s="4" t="s">
        <v>548</v>
      </c>
      <c r="G37" s="5">
        <v>1</v>
      </c>
    </row>
    <row r="38" ht="15.6" customHeight="1" spans="1:7">
      <c r="A38" s="2" t="s">
        <v>549</v>
      </c>
      <c r="B38" s="2" t="s">
        <v>135</v>
      </c>
      <c r="C38" s="3" t="s">
        <v>653</v>
      </c>
      <c r="D38" s="2" t="s">
        <v>626</v>
      </c>
      <c r="E38" s="7" t="s">
        <v>727</v>
      </c>
      <c r="F38" s="7" t="s">
        <v>727</v>
      </c>
      <c r="G38" s="5">
        <v>1</v>
      </c>
    </row>
    <row r="39" ht="15.6" customHeight="1" spans="1:7">
      <c r="A39" s="2" t="s">
        <v>552</v>
      </c>
      <c r="B39" s="2" t="s">
        <v>135</v>
      </c>
      <c r="C39" s="3" t="s">
        <v>653</v>
      </c>
      <c r="D39" s="2" t="s">
        <v>626</v>
      </c>
      <c r="E39" s="7" t="s">
        <v>554</v>
      </c>
      <c r="F39" s="7" t="s">
        <v>554</v>
      </c>
      <c r="G39" s="5">
        <v>1</v>
      </c>
    </row>
    <row r="40" ht="15.6" customHeight="1" spans="1:7">
      <c r="A40" s="2" t="s">
        <v>555</v>
      </c>
      <c r="B40" s="2" t="s">
        <v>135</v>
      </c>
      <c r="C40" s="3" t="s">
        <v>653</v>
      </c>
      <c r="D40" s="2" t="s">
        <v>626</v>
      </c>
      <c r="E40" s="4" t="s">
        <v>728</v>
      </c>
      <c r="F40" s="4">
        <v>8</v>
      </c>
      <c r="G40" s="5">
        <v>0</v>
      </c>
    </row>
    <row r="41" ht="15.6" customHeight="1" spans="1:7">
      <c r="A41" s="2" t="s">
        <v>557</v>
      </c>
      <c r="B41" s="2" t="s">
        <v>135</v>
      </c>
      <c r="C41" s="3" t="s">
        <v>653</v>
      </c>
      <c r="D41" s="2" t="s">
        <v>626</v>
      </c>
      <c r="E41" s="7" t="s">
        <v>729</v>
      </c>
      <c r="F41" s="7" t="s">
        <v>559</v>
      </c>
      <c r="G41" s="5">
        <v>0</v>
      </c>
    </row>
    <row r="42" ht="15.6" customHeight="1" spans="1:7">
      <c r="A42" s="2" t="s">
        <v>560</v>
      </c>
      <c r="B42" s="2" t="s">
        <v>135</v>
      </c>
      <c r="C42" s="3" t="s">
        <v>653</v>
      </c>
      <c r="D42" s="2" t="s">
        <v>626</v>
      </c>
      <c r="E42" s="7" t="s">
        <v>730</v>
      </c>
      <c r="F42" s="7" t="s">
        <v>562</v>
      </c>
      <c r="G42" s="5">
        <v>0</v>
      </c>
    </row>
    <row r="43" ht="15.6" customHeight="1" spans="1:7">
      <c r="A43" s="2" t="s">
        <v>563</v>
      </c>
      <c r="B43" s="2" t="s">
        <v>135</v>
      </c>
      <c r="C43" s="3" t="s">
        <v>653</v>
      </c>
      <c r="D43" s="2" t="s">
        <v>626</v>
      </c>
      <c r="E43" s="7" t="s">
        <v>565</v>
      </c>
      <c r="F43" s="7" t="s">
        <v>565</v>
      </c>
      <c r="G43" s="5">
        <v>1</v>
      </c>
    </row>
    <row r="44" ht="15.6" customHeight="1" spans="1:7">
      <c r="A44" s="2" t="s">
        <v>566</v>
      </c>
      <c r="B44" s="2" t="s">
        <v>135</v>
      </c>
      <c r="C44" s="3" t="s">
        <v>653</v>
      </c>
      <c r="D44" s="2" t="s">
        <v>626</v>
      </c>
      <c r="E44" s="4" t="s">
        <v>645</v>
      </c>
      <c r="F44" s="4">
        <v>6</v>
      </c>
      <c r="G44" s="5">
        <v>1</v>
      </c>
    </row>
    <row r="45" ht="15.6" customHeight="1" spans="1:7">
      <c r="A45" s="2" t="s">
        <v>568</v>
      </c>
      <c r="B45" s="2" t="s">
        <v>135</v>
      </c>
      <c r="C45" s="3" t="s">
        <v>653</v>
      </c>
      <c r="D45" s="2" t="s">
        <v>626</v>
      </c>
      <c r="E45" s="7" t="s">
        <v>570</v>
      </c>
      <c r="F45" s="7" t="s">
        <v>570</v>
      </c>
      <c r="G45" s="5">
        <v>1</v>
      </c>
    </row>
    <row r="46" ht="15.6" customHeight="1" spans="1:7">
      <c r="A46" s="2" t="s">
        <v>571</v>
      </c>
      <c r="B46" s="2" t="s">
        <v>135</v>
      </c>
      <c r="C46" s="3" t="s">
        <v>653</v>
      </c>
      <c r="D46" s="2" t="s">
        <v>626</v>
      </c>
      <c r="E46" s="7" t="s">
        <v>573</v>
      </c>
      <c r="F46" s="7" t="s">
        <v>573</v>
      </c>
      <c r="G46" s="5">
        <v>1</v>
      </c>
    </row>
    <row r="47" ht="15.6" customHeight="1" spans="1:7">
      <c r="A47" s="2" t="s">
        <v>574</v>
      </c>
      <c r="B47" s="2" t="s">
        <v>135</v>
      </c>
      <c r="C47" s="3" t="s">
        <v>653</v>
      </c>
      <c r="D47" s="2" t="s">
        <v>626</v>
      </c>
      <c r="E47" s="7" t="s">
        <v>576</v>
      </c>
      <c r="F47" s="7" t="s">
        <v>576</v>
      </c>
      <c r="G47" s="5">
        <v>1</v>
      </c>
    </row>
    <row r="48" ht="15.6" customHeight="1" spans="1:7">
      <c r="A48" s="2" t="s">
        <v>577</v>
      </c>
      <c r="B48" s="2" t="s">
        <v>135</v>
      </c>
      <c r="C48" s="3" t="s">
        <v>653</v>
      </c>
      <c r="D48" s="2" t="s">
        <v>626</v>
      </c>
      <c r="E48" s="17" t="s">
        <v>646</v>
      </c>
      <c r="F48" s="4" t="s">
        <v>579</v>
      </c>
      <c r="G48" s="5">
        <v>1</v>
      </c>
    </row>
    <row r="49" ht="15.6" customHeight="1" spans="1:7">
      <c r="A49" s="2" t="s">
        <v>580</v>
      </c>
      <c r="B49" s="2" t="s">
        <v>135</v>
      </c>
      <c r="C49" s="3" t="s">
        <v>653</v>
      </c>
      <c r="D49" s="2" t="s">
        <v>626</v>
      </c>
      <c r="E49" s="7" t="s">
        <v>582</v>
      </c>
      <c r="F49" s="7" t="s">
        <v>582</v>
      </c>
      <c r="G49" s="5">
        <v>1</v>
      </c>
    </row>
    <row r="50" ht="15.6" customHeight="1" spans="1:7">
      <c r="A50" s="2" t="s">
        <v>583</v>
      </c>
      <c r="B50" s="2" t="s">
        <v>135</v>
      </c>
      <c r="C50" s="3" t="s">
        <v>653</v>
      </c>
      <c r="D50" s="2" t="s">
        <v>626</v>
      </c>
      <c r="E50" s="7" t="s">
        <v>585</v>
      </c>
      <c r="F50" s="7" t="s">
        <v>585</v>
      </c>
      <c r="G50" s="5">
        <v>1</v>
      </c>
    </row>
    <row r="51" ht="110.85" customHeight="1" spans="1:7">
      <c r="A51" s="2" t="s">
        <v>586</v>
      </c>
      <c r="B51" s="2" t="s">
        <v>135</v>
      </c>
      <c r="C51" s="3" t="s">
        <v>653</v>
      </c>
      <c r="D51" s="2" t="s">
        <v>626</v>
      </c>
      <c r="E51" s="2" t="s">
        <v>648</v>
      </c>
      <c r="F51" s="7" t="s">
        <v>649</v>
      </c>
      <c r="G51" s="5">
        <v>1</v>
      </c>
    </row>
    <row r="52" ht="15.6" customHeight="1" spans="1:7">
      <c r="A52" s="2" t="s">
        <v>589</v>
      </c>
      <c r="B52" s="2" t="s">
        <v>135</v>
      </c>
      <c r="C52" s="3" t="s">
        <v>653</v>
      </c>
      <c r="D52" s="2" t="s">
        <v>626</v>
      </c>
      <c r="E52" s="7" t="s">
        <v>731</v>
      </c>
      <c r="F52" s="7" t="s">
        <v>591</v>
      </c>
      <c r="G52" s="5">
        <v>0</v>
      </c>
    </row>
    <row r="53" ht="15.6" customHeight="1" spans="1:7">
      <c r="A53" s="2" t="s">
        <v>592</v>
      </c>
      <c r="B53" s="2" t="s">
        <v>135</v>
      </c>
      <c r="C53" s="3" t="s">
        <v>653</v>
      </c>
      <c r="D53" s="2" t="s">
        <v>626</v>
      </c>
      <c r="E53" s="7" t="s">
        <v>665</v>
      </c>
      <c r="F53" s="7" t="s">
        <v>582</v>
      </c>
      <c r="G53" s="5">
        <v>0</v>
      </c>
    </row>
    <row r="54" ht="15.6" customHeight="1" spans="1:7">
      <c r="A54" s="2" t="s">
        <v>594</v>
      </c>
      <c r="B54" s="2" t="s">
        <v>135</v>
      </c>
      <c r="C54" s="3" t="s">
        <v>653</v>
      </c>
      <c r="D54" s="2" t="s">
        <v>626</v>
      </c>
      <c r="E54" s="7" t="s">
        <v>732</v>
      </c>
      <c r="F54" s="2" t="s">
        <v>596</v>
      </c>
      <c r="G54" s="5">
        <v>0</v>
      </c>
    </row>
    <row r="55" ht="15.6" customHeight="1" spans="1:7">
      <c r="A55" s="2" t="s">
        <v>597</v>
      </c>
      <c r="B55" s="2" t="s">
        <v>135</v>
      </c>
      <c r="C55" s="3" t="s">
        <v>653</v>
      </c>
      <c r="D55" s="2" t="s">
        <v>626</v>
      </c>
      <c r="E55" s="7" t="s">
        <v>530</v>
      </c>
      <c r="F55" s="7" t="s">
        <v>530</v>
      </c>
      <c r="G55" s="5">
        <v>1</v>
      </c>
    </row>
    <row r="56" ht="15.6" customHeight="1" spans="1:7">
      <c r="A56" s="2" t="s">
        <v>599</v>
      </c>
      <c r="B56" s="2" t="s">
        <v>135</v>
      </c>
      <c r="C56" s="3" t="s">
        <v>653</v>
      </c>
      <c r="D56" s="2" t="s">
        <v>626</v>
      </c>
      <c r="E56" s="7" t="s">
        <v>733</v>
      </c>
      <c r="F56" s="7" t="s">
        <v>601</v>
      </c>
      <c r="G56" s="5">
        <v>1</v>
      </c>
    </row>
    <row r="57" ht="15.6" customHeight="1" spans="1:7">
      <c r="A57" s="2" t="s">
        <v>602</v>
      </c>
      <c r="B57" s="2" t="s">
        <v>135</v>
      </c>
      <c r="C57" s="3" t="s">
        <v>653</v>
      </c>
      <c r="D57" s="2" t="s">
        <v>626</v>
      </c>
      <c r="E57" s="7" t="s">
        <v>582</v>
      </c>
      <c r="F57" s="7" t="s">
        <v>582</v>
      </c>
      <c r="G57" s="5">
        <v>1</v>
      </c>
    </row>
    <row r="58" ht="15.6" customHeight="1" spans="1:7">
      <c r="A58" s="2" t="s">
        <v>604</v>
      </c>
      <c r="B58" s="2" t="s">
        <v>135</v>
      </c>
      <c r="C58" s="3" t="s">
        <v>653</v>
      </c>
      <c r="D58" s="2" t="s">
        <v>626</v>
      </c>
      <c r="E58" s="7" t="s">
        <v>734</v>
      </c>
      <c r="F58" s="7" t="s">
        <v>734</v>
      </c>
      <c r="G58" s="5">
        <v>1</v>
      </c>
    </row>
    <row r="59" ht="15.6" customHeight="1" spans="1:7">
      <c r="A59" s="2" t="s">
        <v>607</v>
      </c>
      <c r="B59" s="2" t="s">
        <v>135</v>
      </c>
      <c r="C59" s="3" t="s">
        <v>653</v>
      </c>
      <c r="D59" s="2" t="s">
        <v>626</v>
      </c>
      <c r="E59" s="7" t="s">
        <v>681</v>
      </c>
      <c r="F59" s="7" t="s">
        <v>609</v>
      </c>
      <c r="G59" s="5">
        <v>0</v>
      </c>
    </row>
    <row r="60" ht="15.6" customHeight="1" spans="1:7">
      <c r="A60" s="2" t="s">
        <v>610</v>
      </c>
      <c r="B60" s="2" t="s">
        <v>135</v>
      </c>
      <c r="C60" s="3" t="s">
        <v>653</v>
      </c>
      <c r="D60" s="2" t="s">
        <v>626</v>
      </c>
      <c r="E60" s="4" t="s">
        <v>631</v>
      </c>
      <c r="F60" s="4" t="s">
        <v>612</v>
      </c>
      <c r="G60" s="3">
        <v>0</v>
      </c>
    </row>
    <row r="61" ht="15.6" customHeight="1" spans="1:7">
      <c r="A61" s="18" t="s">
        <v>613</v>
      </c>
      <c r="B61" s="18" t="s">
        <v>135</v>
      </c>
      <c r="C61" s="3" t="s">
        <v>653</v>
      </c>
      <c r="D61" s="18" t="s">
        <v>626</v>
      </c>
      <c r="E61" s="19" t="s">
        <v>615</v>
      </c>
      <c r="F61" s="19" t="s">
        <v>615</v>
      </c>
      <c r="G61" s="20">
        <v>1</v>
      </c>
    </row>
  </sheetData>
  <pageMargins left="0.7" right="0.7" top="0.75" bottom="0.75" header="0.3" footer="0.3"/>
  <pageSetup paperSize="1" orientation="portrait"/>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Uzdevumi</vt:lpstr>
      <vt:lpstr>Gemma-e4b 4B</vt:lpstr>
      <vt:lpstr>Qwen2.5 3B</vt:lpstr>
      <vt:lpstr>Qwen3.5 9B</vt:lpstr>
      <vt:lpstr>GPT-5.3</vt:lpstr>
      <vt:lpstr>RAG ar Qwen2.5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Илана Плоциня</dc:creator>
  <cp:lastModifiedBy>Ilana Plociņa</cp:lastModifiedBy>
  <dcterms:created xsi:type="dcterms:W3CDTF">2026-05-04T10:34:00Z</dcterms:created>
  <cp:lastPrinted>2026-05-10T17:34:00Z</cp:lastPrinted>
  <dcterms:modified xsi:type="dcterms:W3CDTF">2026-05-19T14:21:59Z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C49A5BCF5BD44EC7A5500E4C0B2E971E_13</vt:lpwstr>
  </property>
  <property fmtid="{D5CDD505-2E9C-101B-9397-08002B2CF9AE}" pid="3" name="KSOProductBuildVer">
    <vt:lpwstr>1049-12.1.0.26372</vt:lpwstr>
  </property>
  <property fmtid="{D5CDD505-2E9C-101B-9397-08002B2CF9AE}" pid="4" name="CalculationRule">
    <vt:i4>0</vt:i4>
  </property>
</Properties>
</file>